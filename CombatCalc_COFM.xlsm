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armyeitaas-my.sharepoint-mil.us/personal/brenden_m_shutt_mil_army_mil/Documents/00. Innovations/"/>
    </mc:Choice>
  </mc:AlternateContent>
  <xr:revisionPtr revIDLastSave="10" documentId="8_{C6495B49-60AF-41B3-ADFF-D01F2F62C557}" xr6:coauthVersionLast="47" xr6:coauthVersionMax="47" xr10:uidLastSave="{A0A1AEAE-F9CC-4E7F-BAAA-C83FBD0FA1A0}"/>
  <bookViews>
    <workbookView xWindow="-120" yWindow="60" windowWidth="29040" windowHeight="14475" xr2:uid="{00000000-000D-0000-FFFF-FFFF00000000}"/>
  </bookViews>
  <sheets>
    <sheet name="Engagement Calculator 2.0 " sheetId="23" r:id="rId1"/>
    <sheet name="Engagement Calc 1.0" sheetId="14" r:id="rId2"/>
    <sheet name="Damage Table" sheetId="7" r:id="rId3"/>
    <sheet name="Data" sheetId="4" r:id="rId4"/>
  </sheets>
  <externalReferences>
    <externalReference r:id="rId5"/>
    <externalReference r:id="rId6"/>
    <externalReference r:id="rId7"/>
  </externalReferences>
  <definedNames>
    <definedName name="_xlnm._FilterDatabase" localSheetId="2" hidden="1">'Damage Table'!$A$3:$BO$21</definedName>
    <definedName name="DamageTable" localSheetId="2">'Damage Table'!$A$3:$BO$20</definedName>
    <definedName name="DamageTable">'[1]Damage Table'!$A$3:$BO$20</definedName>
    <definedName name="DamageTable1">'[2]Damage Table'!$A$2:$BG$19</definedName>
    <definedName name="ETable" localSheetId="2">[3]Data!$C$3:$D$113</definedName>
    <definedName name="ETable">Data!$D$3:$E$89</definedName>
    <definedName name="EType" localSheetId="2">[3]Data!$C$3:$C$113</definedName>
    <definedName name="EType">Data!$D$3:$D$89</definedName>
    <definedName name="FMission" localSheetId="2">#REF!</definedName>
    <definedName name="FMission">#REF!</definedName>
    <definedName name="FMission2" localSheetId="2">#REF!</definedName>
    <definedName name="FMission2">#REF!</definedName>
    <definedName name="FTable" localSheetId="2">[3]Data!$A$3:$B$101</definedName>
    <definedName name="FTable">Data!$A$3:$B$75</definedName>
    <definedName name="FType" localSheetId="2">[3]Data!$A$3:$A$101</definedName>
    <definedName name="FType">Data!$A$3:$A$75</definedName>
    <definedName name="Missions" localSheetId="2">'Damage Table'!$A$25:$A$29</definedName>
    <definedName name="Missions">'[1]Damage Table'!$A$25:$A$29</definedName>
    <definedName name="_xlnm.Print_Area" localSheetId="2">'Damage Table'!$A$1:$BO$31</definedName>
    <definedName name="_xlnm.Print_Area" localSheetId="3">Data!$A$1:$N$78</definedName>
    <definedName name="_xlnm.Print_Area" localSheetId="1">'Engagement Calc 1.0'!$B$3:$J$15</definedName>
    <definedName name="_xlnm.Print_Area" localSheetId="0">'Engagement Calculator 2.0 '!$B$3:$J$21</definedName>
    <definedName name="TABLE" localSheetId="3">Data!$A$1:$E$57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" i="23" l="1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6" i="23"/>
  <c r="Q10" i="23"/>
  <c r="Q7" i="23"/>
  <c r="Q8" i="23"/>
  <c r="Q9" i="23"/>
  <c r="Q11" i="23"/>
  <c r="Q12" i="23"/>
  <c r="Q13" i="23"/>
  <c r="Q14" i="23"/>
  <c r="Q15" i="23"/>
  <c r="Q16" i="23"/>
  <c r="Q17" i="23"/>
  <c r="Q18" i="23"/>
  <c r="Q19" i="23"/>
  <c r="Q20" i="23"/>
  <c r="Q21" i="23"/>
  <c r="E4" i="23" l="1"/>
  <c r="G4" i="23"/>
  <c r="Q3" i="4"/>
  <c r="H4" i="23" l="1"/>
  <c r="D4" i="23"/>
  <c r="F3" i="23"/>
  <c r="J21" i="23"/>
  <c r="T15" i="14"/>
  <c r="Q15" i="14"/>
  <c r="T14" i="14"/>
  <c r="Q14" i="14"/>
  <c r="T13" i="14"/>
  <c r="Q13" i="14"/>
  <c r="T12" i="14"/>
  <c r="Q12" i="14"/>
  <c r="T11" i="14"/>
  <c r="Q11" i="14"/>
  <c r="T10" i="14"/>
  <c r="Q10" i="14"/>
  <c r="T9" i="14"/>
  <c r="Q9" i="14"/>
  <c r="T8" i="14"/>
  <c r="Q8" i="14"/>
  <c r="T7" i="14"/>
  <c r="Q7" i="14"/>
  <c r="T6" i="14"/>
  <c r="Q6" i="14"/>
  <c r="J19" i="23" l="1"/>
  <c r="J20" i="23"/>
  <c r="J17" i="23"/>
  <c r="J18" i="23"/>
  <c r="J15" i="23"/>
  <c r="J16" i="23"/>
  <c r="J13" i="23"/>
  <c r="J14" i="23"/>
  <c r="J11" i="23"/>
  <c r="J12" i="23"/>
  <c r="J9" i="23"/>
  <c r="J10" i="23"/>
  <c r="J6" i="23"/>
  <c r="J8" i="23"/>
  <c r="E4" i="14"/>
  <c r="G4" i="14"/>
  <c r="BN3" i="7"/>
  <c r="BL3" i="7"/>
  <c r="BJ3" i="7"/>
  <c r="BH3" i="7"/>
  <c r="BF3" i="7"/>
  <c r="BD3" i="7"/>
  <c r="BB3" i="7"/>
  <c r="AZ3" i="7"/>
  <c r="AX3" i="7"/>
  <c r="AV3" i="7"/>
  <c r="AT3" i="7"/>
  <c r="AR3" i="7"/>
  <c r="AP3" i="7"/>
  <c r="AN3" i="7"/>
  <c r="AL3" i="7"/>
  <c r="AJ3" i="7"/>
  <c r="AH3" i="7"/>
  <c r="AF3" i="7"/>
  <c r="AD3" i="7"/>
  <c r="AB3" i="7"/>
  <c r="Z3" i="7"/>
  <c r="X3" i="7"/>
  <c r="V3" i="7"/>
  <c r="T3" i="7"/>
  <c r="R3" i="7"/>
  <c r="P3" i="7"/>
  <c r="N3" i="7"/>
  <c r="L3" i="7"/>
  <c r="J3" i="7"/>
  <c r="H3" i="7"/>
  <c r="F3" i="7"/>
  <c r="D3" i="7"/>
  <c r="B3" i="7"/>
  <c r="AF2" i="7"/>
  <c r="AD2" i="7"/>
  <c r="AB2" i="7"/>
  <c r="Z2" i="7"/>
  <c r="X2" i="7"/>
  <c r="V2" i="7"/>
  <c r="T2" i="7"/>
  <c r="R2" i="7"/>
  <c r="P2" i="7"/>
  <c r="N2" i="7"/>
  <c r="L2" i="7"/>
  <c r="J2" i="7"/>
  <c r="H2" i="7"/>
  <c r="F2" i="7"/>
  <c r="D2" i="7"/>
  <c r="B2" i="7"/>
  <c r="D21" i="23" l="1"/>
  <c r="D6" i="23"/>
  <c r="D19" i="23"/>
  <c r="D20" i="23"/>
  <c r="D17" i="23"/>
  <c r="D18" i="23"/>
  <c r="D15" i="23"/>
  <c r="D16" i="23"/>
  <c r="D13" i="23"/>
  <c r="D14" i="23"/>
  <c r="D11" i="23"/>
  <c r="D12" i="23"/>
  <c r="D9" i="23"/>
  <c r="D10" i="23"/>
  <c r="D8" i="23"/>
  <c r="J7" i="23"/>
  <c r="D7" i="23"/>
  <c r="D4" i="14"/>
  <c r="D15" i="14" s="1"/>
  <c r="J4" i="14"/>
  <c r="J8" i="14" s="1"/>
  <c r="F3" i="14"/>
  <c r="D6" i="14" l="1"/>
  <c r="D9" i="14"/>
  <c r="D7" i="14"/>
  <c r="D13" i="14"/>
  <c r="D12" i="14"/>
  <c r="D10" i="14"/>
  <c r="D11" i="14"/>
  <c r="D8" i="14"/>
  <c r="D14" i="14"/>
  <c r="J14" i="14"/>
  <c r="J10" i="14"/>
  <c r="J12" i="14"/>
  <c r="J9" i="14"/>
  <c r="J11" i="14"/>
  <c r="J7" i="14"/>
  <c r="J15" i="14"/>
  <c r="J13" i="14"/>
  <c r="J6" i="14"/>
</calcChain>
</file>

<file path=xl/sharedStrings.xml><?xml version="1.0" encoding="utf-8"?>
<sst xmlns="http://schemas.openxmlformats.org/spreadsheetml/2006/main" count="1073" uniqueCount="276">
  <si>
    <t>Deliberate Attack</t>
  </si>
  <si>
    <t>Deliberate Defense</t>
  </si>
  <si>
    <t>Strength</t>
  </si>
  <si>
    <t>Unit</t>
  </si>
  <si>
    <t xml:space="preserve">Remaining </t>
  </si>
  <si>
    <t>Remaining</t>
  </si>
  <si>
    <t>FA Btry (SBCT) (M777)</t>
  </si>
  <si>
    <t>Tank Co (M1A2)</t>
  </si>
  <si>
    <t>EN A Co (SBCT)</t>
  </si>
  <si>
    <t>Control + Left-Click &amp; Drag Unit Icons into the blue field</t>
  </si>
  <si>
    <t>Control + Left-Click &amp; Drag Unit Icons into the red field</t>
  </si>
  <si>
    <t>Hasty Attack</t>
  </si>
  <si>
    <t>Hasty Defense</t>
  </si>
  <si>
    <t>Armored Bde (GB)</t>
  </si>
  <si>
    <t>Infantry Bde (BTR-80/T-72A)</t>
  </si>
  <si>
    <t>Infantry Bde (SBCT)</t>
  </si>
  <si>
    <t>CAS Sortie x10</t>
  </si>
  <si>
    <t>Combined Arms Bn (M1A2)</t>
  </si>
  <si>
    <t>Tank Bn (T-72A)</t>
  </si>
  <si>
    <t>Infantry Bn (BMP-2)</t>
  </si>
  <si>
    <t>Inf Bn (Light)</t>
  </si>
  <si>
    <t>Tank Bde (T72A/BMP-2)</t>
  </si>
  <si>
    <t>EN Bn (ABCT)</t>
  </si>
  <si>
    <t>Cav Sqdn (M1A2)</t>
  </si>
  <si>
    <t>F to E force ratio</t>
  </si>
  <si>
    <t>1:5</t>
  </si>
  <si>
    <t>1:4.75</t>
  </si>
  <si>
    <t>1:4.5</t>
  </si>
  <si>
    <t>1:4.25</t>
  </si>
  <si>
    <t>1:4</t>
  </si>
  <si>
    <t>1:3.75</t>
  </si>
  <si>
    <t>1:3.5</t>
  </si>
  <si>
    <t>1:3.25</t>
  </si>
  <si>
    <t>1:3</t>
  </si>
  <si>
    <t>1:2.75</t>
  </si>
  <si>
    <t>1:2.5</t>
  </si>
  <si>
    <t>1:2.25</t>
  </si>
  <si>
    <t>1:2</t>
  </si>
  <si>
    <t>1:1.75</t>
  </si>
  <si>
    <t>1:1.5</t>
  </si>
  <si>
    <t>1:1.25</t>
  </si>
  <si>
    <t>1:1</t>
  </si>
  <si>
    <t>1.25:1</t>
  </si>
  <si>
    <t>1.5:1</t>
  </si>
  <si>
    <t>1.75:1</t>
  </si>
  <si>
    <t>2:1</t>
  </si>
  <si>
    <t>2.25:1</t>
  </si>
  <si>
    <t>2.5:1</t>
  </si>
  <si>
    <t>2.75:1</t>
  </si>
  <si>
    <t>3:1</t>
  </si>
  <si>
    <t>3.25:1</t>
  </si>
  <si>
    <t>3.5:1</t>
  </si>
  <si>
    <t>3.75:1</t>
  </si>
  <si>
    <t>4:1</t>
  </si>
  <si>
    <t>4.25:1</t>
  </si>
  <si>
    <t>4.5:1</t>
  </si>
  <si>
    <t>4.75:1</t>
  </si>
  <si>
    <t>5:1</t>
  </si>
  <si>
    <t>Friendly vs Enemy</t>
  </si>
  <si>
    <t>% of Friendly Forces</t>
  </si>
  <si>
    <t>Deliberate Attack vs Deliberate Attack</t>
  </si>
  <si>
    <t>N/A</t>
  </si>
  <si>
    <t>Deliberate Attack vs Deliberate Defense</t>
  </si>
  <si>
    <t>Deliberate Attack vs Hasty Attack</t>
  </si>
  <si>
    <t>Deliberate Attack vs Hasty Defense</t>
  </si>
  <si>
    <t>Deliberate Defense vs Deliberate Attack</t>
  </si>
  <si>
    <t>Deliberate Defense vs Deliberate Defense</t>
  </si>
  <si>
    <t>Deliberate Defense vs Hasty Attack</t>
  </si>
  <si>
    <t>Deliberate Defense vs Hasty Defense</t>
  </si>
  <si>
    <t>Hasty Attack vs Deliberate Attack</t>
  </si>
  <si>
    <t>Hasty Attack vs Deliberate Defense</t>
  </si>
  <si>
    <t>Hasty Attack vs Hasty Attack</t>
  </si>
  <si>
    <t>Hasty Attack vs Hasty Defense</t>
  </si>
  <si>
    <t>Hasty Defense vs Deliberate Attack</t>
  </si>
  <si>
    <t>Hasty Defense vs Deliberate Defense</t>
  </si>
  <si>
    <t>Hasty Defense vs Hasty Attack</t>
  </si>
  <si>
    <t>Hasty Defense vs Hasty Defense</t>
  </si>
  <si>
    <t>Meeting Engagement vs Meeting Engagement</t>
  </si>
  <si>
    <t>CGSOC interpretation of doctrinal minimums and historical models.</t>
  </si>
  <si>
    <t>Friendly</t>
  </si>
  <si>
    <t>Enemy</t>
  </si>
  <si>
    <t>Missions: (choices)</t>
  </si>
  <si>
    <t>Meeting Engagement</t>
  </si>
  <si>
    <t>Weight Parameter</t>
  </si>
  <si>
    <t>Type</t>
  </si>
  <si>
    <t>Force Equivalent</t>
  </si>
  <si>
    <t>Branch</t>
  </si>
  <si>
    <t>Source: TRADOC Analysis Center</t>
  </si>
  <si>
    <t>Equipment</t>
  </si>
  <si>
    <t>OPFOR values based on DATE TO&amp;Es from ATN</t>
  </si>
  <si>
    <t>Personnel</t>
  </si>
  <si>
    <t>Infantry Bn (SBCT)</t>
  </si>
  <si>
    <t>Infantry Bn (BTR-80)</t>
  </si>
  <si>
    <t>BLUFOR values based on FMSWeb MTO&amp;Es for FY17</t>
  </si>
  <si>
    <t>Infantry Co (SBCT)</t>
  </si>
  <si>
    <t>Infantry Co (BTR-80)</t>
  </si>
  <si>
    <t>Cav Sqdn (SBCT)</t>
  </si>
  <si>
    <t>Cav Trp (SBCT)</t>
  </si>
  <si>
    <t>Tank Co (T-72A)</t>
  </si>
  <si>
    <t>Weapons Trp (SBCT)</t>
  </si>
  <si>
    <t>FA Bn (G5)</t>
  </si>
  <si>
    <t>FA Bn (M777)</t>
  </si>
  <si>
    <t>FA Btry (G5)</t>
  </si>
  <si>
    <t>SP Combo Gun Btry</t>
  </si>
  <si>
    <t>EN Bn (SBCT)</t>
  </si>
  <si>
    <t>Recon Co (BTR-80)</t>
  </si>
  <si>
    <t>Infantry Bde (BMP-2/T-80U)</t>
  </si>
  <si>
    <t>Armored Bde (ABCT) (M1A2)</t>
  </si>
  <si>
    <t>Infantry Co (BMP-2)</t>
  </si>
  <si>
    <t>Infantry Co (M2A2)</t>
  </si>
  <si>
    <t>Infantry Bde (BMP-3/T-80U)</t>
  </si>
  <si>
    <t>Infantry Bn (BMP-3)</t>
  </si>
  <si>
    <t>Infantry Co (BMP-3)</t>
  </si>
  <si>
    <t>Cav Trp (ABCT)</t>
  </si>
  <si>
    <t>FA Bn (M109A6)</t>
  </si>
  <si>
    <t>FA Btry (M109A6)</t>
  </si>
  <si>
    <t>EN A Co (ABCT)</t>
  </si>
  <si>
    <t>Infantry Bde (IBCT)</t>
  </si>
  <si>
    <t>Infantry Bn (IBCT)</t>
  </si>
  <si>
    <t>Infantry Co (IBCT)</t>
  </si>
  <si>
    <t>Weapons Co (IBCT)</t>
  </si>
  <si>
    <t>Cav Sqdn (IBCT)</t>
  </si>
  <si>
    <t>Cav Trp (IBCT)</t>
  </si>
  <si>
    <t>FA Bn (Comp)</t>
  </si>
  <si>
    <t>FA Btry (M119)</t>
  </si>
  <si>
    <t>FA Btry (M777)</t>
  </si>
  <si>
    <t>EN Bn (IBCT)</t>
  </si>
  <si>
    <t>EN A Co (IBCT)</t>
  </si>
  <si>
    <t>Recon Squadron (GB)</t>
  </si>
  <si>
    <t>Mech Inf Bn (GB)</t>
  </si>
  <si>
    <t>Armored Inf Bn (GB)</t>
  </si>
  <si>
    <t>Light Inf Bn (GB)</t>
  </si>
  <si>
    <t>Tank Regt (GB)</t>
  </si>
  <si>
    <t>FA Regt (GB)</t>
  </si>
  <si>
    <t>EN Regt (GB)</t>
  </si>
  <si>
    <t>ADA Btry (GB)</t>
  </si>
  <si>
    <t>Mechanized Bde (TR)</t>
  </si>
  <si>
    <t>Mech Inf Bn (TR) (AIFV)</t>
  </si>
  <si>
    <t>Tank Bn (TR) (Leo 2A4)</t>
  </si>
  <si>
    <t>FA Bn (TR) (155SP)</t>
  </si>
  <si>
    <t>Inf Bde (AZ)</t>
  </si>
  <si>
    <t>Inf Bn (AZ)</t>
  </si>
  <si>
    <t>Inf Co (AZ)</t>
  </si>
  <si>
    <t>Tank Bn (AZ) (T72)</t>
  </si>
  <si>
    <t>Tank Co (AZ) (T72)</t>
  </si>
  <si>
    <t>FA Btry (D-30)</t>
  </si>
  <si>
    <t>Mech Inf Bde (AZ)</t>
  </si>
  <si>
    <t>Mech Inf Bde (AZ) (BMP-2/Leo I)</t>
  </si>
  <si>
    <t>Mech Inf Bn (AZ) BMP-2)</t>
  </si>
  <si>
    <t>Mech Inf Co (AZ) (BMP-2)</t>
  </si>
  <si>
    <t>Tank Bde (AZ) (Leo I)</t>
  </si>
  <si>
    <t>Tank Bn (AZ) (Leo I)</t>
  </si>
  <si>
    <t>Tank Co (AZ) (Leo I)</t>
  </si>
  <si>
    <t>FA SP Bde (AZ)</t>
  </si>
  <si>
    <t>FA SP Bn (AZ)</t>
  </si>
  <si>
    <t>FA SP Btry (AZ)</t>
  </si>
  <si>
    <t>ADA Bn (AZ)</t>
  </si>
  <si>
    <t>ADA Btry (AZ)</t>
  </si>
  <si>
    <t>EN Co (Sapper)</t>
  </si>
  <si>
    <t>MP Co</t>
  </si>
  <si>
    <t>FA Bn (MLRS)</t>
  </si>
  <si>
    <t>FA Btry (MLRS)</t>
  </si>
  <si>
    <t>FA Bn (HIMARS)</t>
  </si>
  <si>
    <t>FA Btry (HIMARS)</t>
  </si>
  <si>
    <t>Avenger Bn</t>
  </si>
  <si>
    <t>Avenger Btry</t>
  </si>
  <si>
    <t>AVN Bn (AH-64)</t>
  </si>
  <si>
    <t>AVN Co (AH-64)</t>
  </si>
  <si>
    <t>CAS Sortie Equivalent</t>
  </si>
  <si>
    <t>CAS Sortie x2</t>
  </si>
  <si>
    <t>CAS Sortie x5</t>
  </si>
  <si>
    <t>Step 3: Input scenerio and force ratio into Damage Table to generate FF &amp; ENY projected loss rates</t>
  </si>
  <si>
    <t>Step 2: determine unweighted force ratio by comparing FF &amp; ENY cummulative force metrics</t>
  </si>
  <si>
    <t>Step 1: input units to determine force metrics for FF &amp; EE</t>
  </si>
  <si>
    <t>Need doctrinal terms for HA, HD, DA, DD, etc</t>
  </si>
  <si>
    <t>Need a reset button</t>
  </si>
  <si>
    <t>ICON</t>
  </si>
  <si>
    <t>UNIT TITLE</t>
  </si>
  <si>
    <t>FORCE METRIC</t>
  </si>
  <si>
    <t>Tank Bn (T-80U)</t>
  </si>
  <si>
    <t>Tank Co (T-80U)</t>
  </si>
  <si>
    <t>FA Bn (2S19)</t>
  </si>
  <si>
    <t>FA Btry (2S19)</t>
  </si>
  <si>
    <t>Recon Co (BMP)</t>
  </si>
  <si>
    <t>EN Co (BMP)</t>
  </si>
  <si>
    <t>Tank Bde (T-80U/BMP-2)</t>
  </si>
  <si>
    <t>Tank Bde (T-90/BMP-3)</t>
  </si>
  <si>
    <t>Tank Bn (T-90)</t>
  </si>
  <si>
    <t>Tank Co (T-90)</t>
  </si>
  <si>
    <t>Recon Co (Tank)</t>
  </si>
  <si>
    <t>Engineer Co (Tank)</t>
  </si>
  <si>
    <t>Inf Bde (Mtr)</t>
  </si>
  <si>
    <t>Inf Bn (Mtr)</t>
  </si>
  <si>
    <t>Inf Co (Mtr)</t>
  </si>
  <si>
    <t>Tank Bn (T-72B)</t>
  </si>
  <si>
    <t>Tank Co (T-72B)</t>
  </si>
  <si>
    <t>FA Bn (G6 Rhino)</t>
  </si>
  <si>
    <t>FA Btry (G6 Rhino)</t>
  </si>
  <si>
    <t>Recon Co (Mtr)</t>
  </si>
  <si>
    <t>En Co (Mtr)</t>
  </si>
  <si>
    <t>Inf Bde (Light)</t>
  </si>
  <si>
    <t>Inf Co (Light)</t>
  </si>
  <si>
    <t>Guerilla Bde</t>
  </si>
  <si>
    <t>Guerilla Bn</t>
  </si>
  <si>
    <t>Guerilla Wpns Bn</t>
  </si>
  <si>
    <t>Recon Co</t>
  </si>
  <si>
    <t>Sapper Co</t>
  </si>
  <si>
    <t>Guerilla Co</t>
  </si>
  <si>
    <t>Weapons Co</t>
  </si>
  <si>
    <t>Guerilla Mortar Btry</t>
  </si>
  <si>
    <t>Guerilla RL Btry</t>
  </si>
  <si>
    <t>Guerilla AT Btry</t>
  </si>
  <si>
    <t>AT Bn (Mech)</t>
  </si>
  <si>
    <t>AT Btry MT-12R</t>
  </si>
  <si>
    <t>AT Btry (AMX-10 HOT 3)</t>
  </si>
  <si>
    <t>AT Bn (Mtr)</t>
  </si>
  <si>
    <t>ADA Bn (Mech)</t>
  </si>
  <si>
    <t>ADA Btry (SP AA Gun)</t>
  </si>
  <si>
    <t>ADA Btry (SA-15)</t>
  </si>
  <si>
    <t>ADA Btry (SA-18)</t>
  </si>
  <si>
    <t>ADA Bn (Mtr)</t>
  </si>
  <si>
    <t>ADA Btry (Skyguard)</t>
  </si>
  <si>
    <t>FA Bde (Mech Division)</t>
  </si>
  <si>
    <t>FA Bn (2S1)</t>
  </si>
  <si>
    <t>FA Btry (2S1)</t>
  </si>
  <si>
    <t>FA Bn (2S3)</t>
  </si>
  <si>
    <t>FA Btry (2S3)</t>
  </si>
  <si>
    <t>FA Bn (2S5)</t>
  </si>
  <si>
    <t>FA Btry (2S5)</t>
  </si>
  <si>
    <t>FA Bde (MRL)</t>
  </si>
  <si>
    <t>FA Bn (9P140/URAGAN/BM-27)</t>
  </si>
  <si>
    <t>FA Btry (9P140/URAGAN/BM-27)</t>
  </si>
  <si>
    <t>FA Bn (9A52-2/SMERCH-M/BM-30)</t>
  </si>
  <si>
    <t>FA Btry (9A52-2/SMERCH-M/BM-30)</t>
  </si>
  <si>
    <t>FA Bn (WM-80)</t>
  </si>
  <si>
    <t>FA Btry (WM-80)</t>
  </si>
  <si>
    <t>FA Bn (Fajr-3)</t>
  </si>
  <si>
    <t>FA Btry (Fajr-3)</t>
  </si>
  <si>
    <t>FA Bde (Mtr Division)</t>
  </si>
  <si>
    <t>ADA Bde (Mech Division)</t>
  </si>
  <si>
    <t>Recon Bn (Mech Division)</t>
  </si>
  <si>
    <t>EN Bn (Mech Division)</t>
  </si>
  <si>
    <t>AVN Bn (Mi-24D/E)</t>
  </si>
  <si>
    <t>AVN Co (Mi-24D/E)</t>
  </si>
  <si>
    <t>AVN Bn (Mi-28)</t>
  </si>
  <si>
    <t>AVN Co (Mi-28)</t>
  </si>
  <si>
    <t>AVN Bn (Ka-50)</t>
  </si>
  <si>
    <t>AVN Co (Ka-50)</t>
  </si>
  <si>
    <t>Control + Left-Click &amp; Drag Unit Icons into the Blue field</t>
  </si>
  <si>
    <t>Control + Left-Click &amp; Drag Unit Icons into the Red field</t>
  </si>
  <si>
    <t>Doctrinal Term</t>
  </si>
  <si>
    <t>Hasty</t>
  </si>
  <si>
    <t>Operation conducted with a minimum preparation of the battlefield to defeat an enemy force that is not prepared or deployed to fight. A COA often employed by cavalry units to seize or retain the initiative, or to sustain the tempo of operations.</t>
  </si>
  <si>
    <t xml:space="preserve">Deliberate </t>
  </si>
  <si>
    <t>Operation conducted to defeat prepared enemy forces. It is preceded by intensive intelligence gathering  and often included large volumes of preparatory fires.</t>
  </si>
  <si>
    <t>Definition (FM 17-97)</t>
  </si>
  <si>
    <t>Picture Numbers</t>
  </si>
  <si>
    <t>Unit Types</t>
  </si>
  <si>
    <t>FF FA</t>
  </si>
  <si>
    <t>FF IN</t>
  </si>
  <si>
    <t>FF AR</t>
  </si>
  <si>
    <t>FF EN</t>
  </si>
  <si>
    <t>FF AD</t>
  </si>
  <si>
    <t>FF MECH</t>
  </si>
  <si>
    <t>10200-10299</t>
  </si>
  <si>
    <t>10100-10199</t>
  </si>
  <si>
    <t>10300-10399</t>
  </si>
  <si>
    <t>10400-10499</t>
  </si>
  <si>
    <t>10500-10599</t>
  </si>
  <si>
    <t>FF Misc</t>
  </si>
  <si>
    <t>FF AVN</t>
  </si>
  <si>
    <t>FF AF</t>
  </si>
  <si>
    <t>10600-10699</t>
  </si>
  <si>
    <t>10700-10799</t>
  </si>
  <si>
    <t>10800-10899</t>
  </si>
  <si>
    <t>10000 - 10099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</si>
</sst>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\ %"/>
  </numFmts>
  <fonts count="5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sz val="12"/>
      <color indexed="10"/>
      <name val="Arial"/>
      <family val="2"/>
    </font>
    <font>
      <sz val="11"/>
      <color theme="1"/>
      <name val="Calibri"/>
      <family val="2"/>
      <scheme val="minor"/>
    </font>
    <font>
      <b/>
      <i/>
      <u/>
      <sz val="12"/>
      <name val="Arial"/>
      <family val="2"/>
    </font>
    <font>
      <b/>
      <sz val="12"/>
      <color rgb="FFFF0000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indexed="16"/>
      <name val="Arial"/>
      <family val="2"/>
    </font>
    <font>
      <b/>
      <sz val="12"/>
      <color theme="0"/>
      <name val="Arial"/>
      <family val="2"/>
    </font>
    <font>
      <sz val="12"/>
      <color rgb="FF800000"/>
      <name val="Arial"/>
      <family val="2"/>
    </font>
    <font>
      <sz val="11"/>
      <color indexed="16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14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rgb="FF0070C0"/>
      <name val="Arial"/>
      <family val="2"/>
    </font>
    <font>
      <b/>
      <sz val="14"/>
      <color theme="1"/>
      <name val="Arial"/>
      <family val="2"/>
    </font>
    <font>
      <b/>
      <sz val="16"/>
      <color rgb="FF000000"/>
      <name val="Arial"/>
      <family val="2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24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b/>
      <sz val="11"/>
      <color theme="4"/>
      <name val="Arial"/>
      <family val="2"/>
    </font>
    <font>
      <b/>
      <sz val="11"/>
      <color theme="5" tint="-0.499984740745262"/>
      <name val="Arial"/>
      <family val="2"/>
    </font>
    <font>
      <b/>
      <sz val="11"/>
      <color rgb="FF92D050"/>
      <name val="Arial"/>
      <family val="2"/>
    </font>
    <font>
      <b/>
      <sz val="11"/>
      <color rgb="FFFFC000"/>
      <name val="Arial"/>
      <family val="2"/>
    </font>
    <font>
      <b/>
      <sz val="14"/>
      <color indexed="12"/>
      <name val="Arial"/>
      <family val="2"/>
    </font>
    <font>
      <b/>
      <u/>
      <sz val="14"/>
      <color indexed="12"/>
      <name val="Arial"/>
      <family val="2"/>
    </font>
    <font>
      <b/>
      <sz val="14"/>
      <name val="Arial"/>
      <family val="2"/>
    </font>
    <font>
      <b/>
      <sz val="14"/>
      <color indexed="10"/>
      <name val="Arial"/>
      <family val="2"/>
    </font>
    <font>
      <b/>
      <u/>
      <sz val="14"/>
      <color indexed="10"/>
      <name val="Arial"/>
      <family val="2"/>
    </font>
    <font>
      <b/>
      <sz val="28"/>
      <color indexed="12"/>
      <name val="Arial"/>
      <family val="2"/>
    </font>
    <font>
      <b/>
      <sz val="28"/>
      <color indexed="10"/>
      <name val="Arial"/>
      <family val="2"/>
    </font>
    <font>
      <b/>
      <sz val="11"/>
      <color theme="1"/>
      <name val="Calibri"/>
      <family val="2"/>
      <scheme val="minor"/>
    </font>
    <font>
      <sz val="16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808000"/>
      <name val="Arial"/>
      <family val="2"/>
    </font>
    <font>
      <b/>
      <sz val="11"/>
      <color theme="4" tint="0.399975585192419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18"/>
      </left>
      <right style="thin">
        <color indexed="18"/>
      </right>
      <top/>
      <bottom style="thin">
        <color indexed="18"/>
      </bottom>
      <diagonal/>
    </border>
    <border>
      <left style="thin">
        <color indexed="18"/>
      </left>
      <right style="thin">
        <color indexed="1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213">
    <xf numFmtId="0" fontId="0" fillId="0" borderId="0" xfId="0"/>
    <xf numFmtId="0" fontId="4" fillId="0" borderId="0" xfId="2" applyFont="1" applyFill="1" applyAlignment="1" applyProtection="1">
      <alignment horizontal="center" vertical="center"/>
      <protection locked="0"/>
    </xf>
    <xf numFmtId="0" fontId="4" fillId="0" borderId="0" xfId="2" applyFont="1" applyFill="1" applyAlignment="1">
      <alignment horizontal="center" vertical="center"/>
    </xf>
    <xf numFmtId="0" fontId="5" fillId="0" borderId="0" xfId="2" applyFont="1" applyFill="1" applyAlignment="1">
      <alignment horizontal="left" vertical="center" wrapText="1"/>
    </xf>
    <xf numFmtId="0" fontId="5" fillId="0" borderId="0" xfId="2" applyFont="1" applyFill="1" applyAlignment="1">
      <alignment horizontal="left" vertical="center"/>
    </xf>
    <xf numFmtId="0" fontId="5" fillId="0" borderId="0" xfId="2" applyFont="1" applyFill="1" applyAlignment="1">
      <alignment horizontal="center" vertical="center" wrapText="1"/>
    </xf>
    <xf numFmtId="2" fontId="4" fillId="0" borderId="0" xfId="2" applyNumberFormat="1" applyFont="1" applyFill="1" applyAlignment="1">
      <alignment horizontal="center" vertical="center"/>
    </xf>
    <xf numFmtId="0" fontId="4" fillId="4" borderId="0" xfId="2" applyFont="1" applyFill="1" applyAlignment="1">
      <alignment horizontal="center" vertical="center"/>
    </xf>
    <xf numFmtId="0" fontId="9" fillId="5" borderId="0" xfId="2" applyFont="1" applyFill="1" applyAlignment="1">
      <alignment horizontal="center" vertical="center"/>
    </xf>
    <xf numFmtId="2" fontId="3" fillId="3" borderId="1" xfId="2" applyNumberFormat="1" applyFont="1" applyFill="1" applyBorder="1" applyAlignment="1" applyProtection="1">
      <alignment horizontal="center" vertical="center" wrapText="1"/>
    </xf>
    <xf numFmtId="2" fontId="10" fillId="3" borderId="1" xfId="2" applyNumberFormat="1" applyFont="1" applyFill="1" applyBorder="1" applyAlignment="1" applyProtection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1" xfId="0" applyBorder="1"/>
    <xf numFmtId="0" fontId="0" fillId="6" borderId="2" xfId="0" applyFill="1" applyBorder="1" applyAlignment="1"/>
    <xf numFmtId="0" fontId="0" fillId="7" borderId="2" xfId="0" applyFill="1" applyBorder="1" applyAlignment="1"/>
    <xf numFmtId="1" fontId="0" fillId="0" borderId="1" xfId="0" applyNumberFormat="1" applyBorder="1"/>
    <xf numFmtId="1" fontId="0" fillId="0" borderId="0" xfId="0" applyNumberFormat="1" applyFill="1" applyBorder="1" applyAlignment="1">
      <alignment vertical="top"/>
    </xf>
    <xf numFmtId="49" fontId="12" fillId="0" borderId="3" xfId="2" applyNumberFormat="1" applyFont="1" applyBorder="1" applyAlignment="1" applyProtection="1">
      <alignment horizontal="center" vertical="center"/>
    </xf>
    <xf numFmtId="49" fontId="1" fillId="0" borderId="0" xfId="2" applyNumberFormat="1"/>
    <xf numFmtId="49" fontId="14" fillId="0" borderId="9" xfId="2" applyNumberFormat="1" applyFont="1" applyBorder="1" applyAlignment="1" applyProtection="1">
      <alignment horizontal="center" vertical="center"/>
    </xf>
    <xf numFmtId="0" fontId="14" fillId="0" borderId="13" xfId="2" applyFont="1" applyBorder="1" applyAlignment="1" applyProtection="1">
      <alignment horizontal="center" vertical="center"/>
    </xf>
    <xf numFmtId="0" fontId="1" fillId="0" borderId="0" xfId="2" applyAlignment="1">
      <alignment horizontal="center"/>
    </xf>
    <xf numFmtId="0" fontId="1" fillId="11" borderId="16" xfId="2" applyFill="1" applyBorder="1" applyAlignment="1">
      <alignment horizontal="center" vertical="center"/>
    </xf>
    <xf numFmtId="9" fontId="16" fillId="11" borderId="7" xfId="1" applyFont="1" applyFill="1" applyBorder="1" applyAlignment="1" applyProtection="1">
      <alignment horizontal="center" vertical="center"/>
    </xf>
    <xf numFmtId="9" fontId="16" fillId="11" borderId="8" xfId="1" applyFont="1" applyFill="1" applyBorder="1" applyAlignment="1" applyProtection="1">
      <alignment horizontal="center" vertical="center"/>
    </xf>
    <xf numFmtId="9" fontId="16" fillId="11" borderId="17" xfId="1" applyFont="1" applyFill="1" applyBorder="1" applyAlignment="1" applyProtection="1">
      <alignment horizontal="center" vertical="center"/>
    </xf>
    <xf numFmtId="9" fontId="16" fillId="11" borderId="18" xfId="1" applyFont="1" applyFill="1" applyBorder="1" applyAlignment="1" applyProtection="1">
      <alignment horizontal="center" vertical="center"/>
    </xf>
    <xf numFmtId="0" fontId="1" fillId="0" borderId="0" xfId="2" applyFill="1" applyAlignment="1">
      <alignment horizontal="left" vertical="center"/>
    </xf>
    <xf numFmtId="0" fontId="1" fillId="0" borderId="0" xfId="2" applyAlignment="1">
      <alignment horizontal="left" vertical="center"/>
    </xf>
    <xf numFmtId="0" fontId="17" fillId="12" borderId="12" xfId="2" applyFont="1" applyFill="1" applyBorder="1" applyAlignment="1">
      <alignment horizontal="center" vertical="center"/>
    </xf>
    <xf numFmtId="9" fontId="16" fillId="13" borderId="19" xfId="1" applyFont="1" applyFill="1" applyBorder="1" applyAlignment="1" applyProtection="1">
      <alignment horizontal="center" vertical="center"/>
    </xf>
    <xf numFmtId="9" fontId="16" fillId="14" borderId="20" xfId="1" applyFont="1" applyFill="1" applyBorder="1" applyAlignment="1" applyProtection="1">
      <alignment horizontal="center" vertical="center"/>
    </xf>
    <xf numFmtId="9" fontId="16" fillId="13" borderId="21" xfId="1" applyFont="1" applyFill="1" applyBorder="1" applyAlignment="1" applyProtection="1">
      <alignment horizontal="center" vertical="center"/>
    </xf>
    <xf numFmtId="9" fontId="16" fillId="14" borderId="22" xfId="1" applyFont="1" applyFill="1" applyBorder="1" applyAlignment="1" applyProtection="1">
      <alignment horizontal="center" vertical="center"/>
    </xf>
    <xf numFmtId="9" fontId="16" fillId="2" borderId="19" xfId="1" applyFont="1" applyFill="1" applyBorder="1" applyAlignment="1" applyProtection="1">
      <alignment horizontal="center" vertical="center"/>
    </xf>
    <xf numFmtId="9" fontId="16" fillId="2" borderId="20" xfId="1" applyFont="1" applyFill="1" applyBorder="1" applyAlignment="1" applyProtection="1">
      <alignment horizontal="center" vertical="center"/>
    </xf>
    <xf numFmtId="0" fontId="1" fillId="11" borderId="12" xfId="2" applyFill="1" applyBorder="1" applyAlignment="1">
      <alignment horizontal="center" vertical="center"/>
    </xf>
    <xf numFmtId="9" fontId="16" fillId="11" borderId="19" xfId="1" applyFont="1" applyFill="1" applyBorder="1" applyAlignment="1" applyProtection="1">
      <alignment horizontal="center" vertical="center"/>
    </xf>
    <xf numFmtId="9" fontId="16" fillId="11" borderId="20" xfId="1" applyFont="1" applyFill="1" applyBorder="1" applyAlignment="1" applyProtection="1">
      <alignment horizontal="center" vertical="center"/>
    </xf>
    <xf numFmtId="9" fontId="16" fillId="11" borderId="21" xfId="1" applyFont="1" applyFill="1" applyBorder="1" applyAlignment="1" applyProtection="1">
      <alignment horizontal="center" vertical="center"/>
    </xf>
    <xf numFmtId="9" fontId="16" fillId="11" borderId="22" xfId="1" applyFont="1" applyFill="1" applyBorder="1" applyAlignment="1" applyProtection="1">
      <alignment horizontal="center" vertical="center"/>
    </xf>
    <xf numFmtId="0" fontId="1" fillId="0" borderId="0" xfId="2" applyFill="1" applyAlignment="1">
      <alignment vertical="center"/>
    </xf>
    <xf numFmtId="0" fontId="1" fillId="0" borderId="0" xfId="2" applyAlignment="1">
      <alignment vertical="center"/>
    </xf>
    <xf numFmtId="9" fontId="16" fillId="2" borderId="21" xfId="1" applyFont="1" applyFill="1" applyBorder="1" applyAlignment="1" applyProtection="1">
      <alignment horizontal="center" vertical="center"/>
    </xf>
    <xf numFmtId="9" fontId="16" fillId="2" borderId="22" xfId="1" applyFont="1" applyFill="1" applyBorder="1" applyAlignment="1" applyProtection="1">
      <alignment horizontal="center" vertical="center"/>
    </xf>
    <xf numFmtId="0" fontId="17" fillId="12" borderId="23" xfId="2" applyFont="1" applyFill="1" applyBorder="1" applyAlignment="1">
      <alignment horizontal="center" vertical="center"/>
    </xf>
    <xf numFmtId="9" fontId="16" fillId="13" borderId="24" xfId="1" applyFont="1" applyFill="1" applyBorder="1" applyAlignment="1" applyProtection="1">
      <alignment horizontal="center" vertical="center"/>
    </xf>
    <xf numFmtId="9" fontId="16" fillId="15" borderId="25" xfId="1" applyFont="1" applyFill="1" applyBorder="1" applyAlignment="1" applyProtection="1">
      <alignment horizontal="center" vertical="center"/>
    </xf>
    <xf numFmtId="9" fontId="16" fillId="14" borderId="25" xfId="1" applyFont="1" applyFill="1" applyBorder="1" applyAlignment="1" applyProtection="1">
      <alignment horizontal="center" vertical="center"/>
    </xf>
    <xf numFmtId="9" fontId="16" fillId="13" borderId="26" xfId="1" applyFont="1" applyFill="1" applyBorder="1" applyAlignment="1" applyProtection="1">
      <alignment horizontal="center" vertical="center"/>
    </xf>
    <xf numFmtId="9" fontId="16" fillId="15" borderId="27" xfId="1" applyFont="1" applyFill="1" applyBorder="1" applyAlignment="1" applyProtection="1">
      <alignment horizontal="center" vertical="center"/>
    </xf>
    <xf numFmtId="9" fontId="16" fillId="16" borderId="26" xfId="1" applyFont="1" applyFill="1" applyBorder="1" applyAlignment="1" applyProtection="1">
      <alignment horizontal="center" vertical="center"/>
    </xf>
    <xf numFmtId="9" fontId="16" fillId="15" borderId="20" xfId="1" applyFont="1" applyFill="1" applyBorder="1" applyAlignment="1" applyProtection="1">
      <alignment horizontal="center" vertical="center"/>
    </xf>
    <xf numFmtId="9" fontId="16" fillId="2" borderId="24" xfId="1" applyFont="1" applyFill="1" applyBorder="1" applyAlignment="1" applyProtection="1">
      <alignment horizontal="center" vertical="center"/>
    </xf>
    <xf numFmtId="9" fontId="16" fillId="2" borderId="25" xfId="1" applyFont="1" applyFill="1" applyBorder="1" applyAlignment="1" applyProtection="1">
      <alignment horizontal="center" vertical="center"/>
    </xf>
    <xf numFmtId="9" fontId="16" fillId="16" borderId="24" xfId="1" applyFont="1" applyFill="1" applyBorder="1" applyAlignment="1" applyProtection="1">
      <alignment horizontal="center" vertical="center"/>
    </xf>
    <xf numFmtId="0" fontId="18" fillId="0" borderId="28" xfId="2" applyFont="1" applyBorder="1" applyAlignment="1">
      <alignment horizontal="center" vertical="center" wrapText="1"/>
    </xf>
    <xf numFmtId="0" fontId="1" fillId="16" borderId="29" xfId="2" applyFont="1" applyFill="1" applyBorder="1" applyAlignment="1">
      <alignment horizontal="center" vertical="center" textRotation="90"/>
    </xf>
    <xf numFmtId="0" fontId="1" fillId="15" borderId="30" xfId="2" applyFont="1" applyFill="1" applyBorder="1" applyAlignment="1">
      <alignment horizontal="center" vertical="center" textRotation="90"/>
    </xf>
    <xf numFmtId="0" fontId="1" fillId="0" borderId="0" xfId="2"/>
    <xf numFmtId="0" fontId="19" fillId="0" borderId="0" xfId="2" applyFont="1" applyAlignment="1">
      <alignment horizontal="left" vertical="center"/>
    </xf>
    <xf numFmtId="0" fontId="20" fillId="0" borderId="0" xfId="2" applyFont="1"/>
    <xf numFmtId="0" fontId="1" fillId="0" borderId="0" xfId="2" applyAlignment="1">
      <alignment horizontal="left"/>
    </xf>
    <xf numFmtId="0" fontId="19" fillId="0" borderId="0" xfId="2" applyFont="1" applyAlignment="1">
      <alignment horizontal="left"/>
    </xf>
    <xf numFmtId="0" fontId="4" fillId="0" borderId="0" xfId="2" applyFont="1" applyAlignment="1">
      <alignment horizontal="left"/>
    </xf>
    <xf numFmtId="0" fontId="1" fillId="0" borderId="0" xfId="2" applyAlignment="1">
      <alignment horizontal="left" indent="3"/>
    </xf>
    <xf numFmtId="0" fontId="5" fillId="0" borderId="0" xfId="2" applyFont="1" applyAlignment="1">
      <alignment horizontal="left"/>
    </xf>
    <xf numFmtId="0" fontId="21" fillId="0" borderId="0" xfId="0" applyFont="1"/>
    <xf numFmtId="0" fontId="11" fillId="0" borderId="0" xfId="0" applyFont="1" applyAlignment="1">
      <alignment horizontal="center" vertical="center"/>
    </xf>
    <xf numFmtId="9" fontId="23" fillId="0" borderId="0" xfId="3" applyFont="1" applyAlignment="1">
      <alignment horizontal="center"/>
    </xf>
    <xf numFmtId="0" fontId="0" fillId="0" borderId="1" xfId="0" applyBorder="1" applyAlignment="1">
      <alignment horizontal="left" indent="2"/>
    </xf>
    <xf numFmtId="0" fontId="21" fillId="8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5" fontId="24" fillId="0" borderId="34" xfId="1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165" fontId="24" fillId="0" borderId="35" xfId="1" applyNumberFormat="1" applyFont="1" applyBorder="1" applyAlignment="1" applyProtection="1">
      <alignment horizontal="center"/>
      <protection locked="0"/>
    </xf>
    <xf numFmtId="0" fontId="0" fillId="0" borderId="36" xfId="0" applyBorder="1" applyAlignment="1">
      <alignment horizontal="left" indent="2"/>
    </xf>
    <xf numFmtId="0" fontId="0" fillId="8" borderId="37" xfId="0" applyFill="1" applyBorder="1" applyAlignment="1">
      <alignment horizontal="center" vertical="center"/>
    </xf>
    <xf numFmtId="0" fontId="21" fillId="8" borderId="38" xfId="0" applyFont="1" applyFill="1" applyBorder="1" applyAlignment="1">
      <alignment horizontal="center" vertical="center"/>
    </xf>
    <xf numFmtId="0" fontId="0" fillId="8" borderId="38" xfId="0" applyFill="1" applyBorder="1" applyAlignment="1">
      <alignment horizontal="center" vertical="center"/>
    </xf>
    <xf numFmtId="0" fontId="0" fillId="8" borderId="39" xfId="0" applyFill="1" applyBorder="1" applyAlignment="1">
      <alignment horizontal="center" vertical="center"/>
    </xf>
    <xf numFmtId="0" fontId="0" fillId="0" borderId="40" xfId="0" applyBorder="1"/>
    <xf numFmtId="0" fontId="0" fillId="0" borderId="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11" fillId="0" borderId="0" xfId="0" applyFont="1" applyAlignment="1" applyProtection="1">
      <alignment horizontal="center" vertical="center"/>
      <protection locked="0"/>
    </xf>
    <xf numFmtId="165" fontId="24" fillId="0" borderId="34" xfId="1" applyNumberFormat="1" applyFont="1" applyBorder="1" applyAlignment="1" applyProtection="1">
      <alignment horizontal="center"/>
    </xf>
    <xf numFmtId="165" fontId="24" fillId="0" borderId="35" xfId="1" applyNumberFormat="1" applyFont="1" applyBorder="1" applyAlignment="1" applyProtection="1">
      <alignment horizontal="center"/>
    </xf>
    <xf numFmtId="0" fontId="0" fillId="0" borderId="0" xfId="0" applyProtection="1"/>
    <xf numFmtId="0" fontId="0" fillId="7" borderId="38" xfId="0" applyFill="1" applyBorder="1"/>
    <xf numFmtId="0" fontId="0" fillId="7" borderId="39" xfId="0" applyFill="1" applyBorder="1"/>
    <xf numFmtId="0" fontId="0" fillId="7" borderId="0" xfId="0" applyFill="1" applyBorder="1"/>
    <xf numFmtId="0" fontId="0" fillId="7" borderId="41" xfId="0" applyFill="1" applyBorder="1"/>
    <xf numFmtId="0" fontId="25" fillId="7" borderId="0" xfId="4" applyFill="1" applyBorder="1"/>
    <xf numFmtId="0" fontId="0" fillId="7" borderId="43" xfId="0" applyFill="1" applyBorder="1"/>
    <xf numFmtId="0" fontId="0" fillId="7" borderId="44" xfId="0" applyFill="1" applyBorder="1"/>
    <xf numFmtId="0" fontId="26" fillId="0" borderId="0" xfId="4" applyFont="1" applyFill="1" applyBorder="1"/>
    <xf numFmtId="0" fontId="4" fillId="0" borderId="0" xfId="2" applyFont="1" applyFill="1" applyAlignment="1">
      <alignment horizontal="center" vertical="center"/>
    </xf>
    <xf numFmtId="0" fontId="5" fillId="0" borderId="0" xfId="2" applyFont="1" applyFill="1" applyAlignment="1">
      <alignment horizontal="center" vertical="center" wrapText="1"/>
    </xf>
    <xf numFmtId="0" fontId="27" fillId="0" borderId="0" xfId="0" applyFont="1"/>
    <xf numFmtId="0" fontId="30" fillId="0" borderId="0" xfId="0" applyFont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0" fontId="29" fillId="0" borderId="0" xfId="0" applyFont="1" applyFill="1" applyBorder="1" applyAlignment="1"/>
    <xf numFmtId="0" fontId="29" fillId="6" borderId="2" xfId="0" applyFont="1" applyFill="1" applyBorder="1" applyAlignment="1"/>
    <xf numFmtId="9" fontId="31" fillId="0" borderId="0" xfId="3" applyFont="1" applyAlignment="1">
      <alignment horizontal="center"/>
    </xf>
    <xf numFmtId="0" fontId="29" fillId="0" borderId="0" xfId="0" applyFont="1" applyFill="1" applyBorder="1"/>
    <xf numFmtId="0" fontId="29" fillId="7" borderId="2" xfId="0" applyFont="1" applyFill="1" applyBorder="1" applyAlignment="1"/>
    <xf numFmtId="0" fontId="32" fillId="8" borderId="1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29" fillId="0" borderId="0" xfId="0" applyFont="1" applyProtection="1"/>
    <xf numFmtId="165" fontId="33" fillId="0" borderId="34" xfId="1" applyNumberFormat="1" applyFont="1" applyBorder="1" applyAlignment="1" applyProtection="1">
      <alignment horizontal="center"/>
      <protection locked="0"/>
    </xf>
    <xf numFmtId="0" fontId="29" fillId="0" borderId="1" xfId="0" applyFont="1" applyBorder="1" applyAlignment="1">
      <alignment horizontal="left" indent="2"/>
    </xf>
    <xf numFmtId="165" fontId="33" fillId="0" borderId="34" xfId="1" applyNumberFormat="1" applyFont="1" applyBorder="1" applyAlignment="1" applyProtection="1">
      <alignment horizontal="center"/>
    </xf>
    <xf numFmtId="165" fontId="33" fillId="0" borderId="35" xfId="1" applyNumberFormat="1" applyFont="1" applyBorder="1" applyAlignment="1" applyProtection="1">
      <alignment horizontal="center"/>
      <protection locked="0"/>
    </xf>
    <xf numFmtId="0" fontId="29" fillId="0" borderId="36" xfId="0" applyFont="1" applyBorder="1" applyAlignment="1">
      <alignment horizontal="left" indent="2"/>
    </xf>
    <xf numFmtId="0" fontId="29" fillId="0" borderId="0" xfId="0" applyFont="1" applyAlignment="1">
      <alignment horizontal="center" vertical="center"/>
    </xf>
    <xf numFmtId="0" fontId="29" fillId="0" borderId="40" xfId="0" applyFont="1" applyBorder="1"/>
    <xf numFmtId="0" fontId="29" fillId="0" borderId="0" xfId="0" applyFont="1" applyBorder="1"/>
    <xf numFmtId="0" fontId="29" fillId="0" borderId="0" xfId="0" applyFont="1"/>
    <xf numFmtId="0" fontId="29" fillId="0" borderId="42" xfId="0" applyFont="1" applyBorder="1"/>
    <xf numFmtId="2" fontId="2" fillId="3" borderId="1" xfId="2" applyNumberFormat="1" applyFont="1" applyFill="1" applyBorder="1" applyAlignment="1">
      <alignment horizontal="center" vertical="center" wrapText="1"/>
    </xf>
    <xf numFmtId="2" fontId="2" fillId="2" borderId="1" xfId="2" applyNumberFormat="1" applyFont="1" applyFill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/>
    </xf>
    <xf numFmtId="0" fontId="29" fillId="0" borderId="44" xfId="0" applyFont="1" applyBorder="1" applyAlignment="1">
      <alignment horizontal="center" vertical="center"/>
    </xf>
    <xf numFmtId="0" fontId="29" fillId="8" borderId="33" xfId="0" applyFont="1" applyFill="1" applyBorder="1" applyAlignment="1">
      <alignment horizontal="center" vertical="center"/>
    </xf>
    <xf numFmtId="0" fontId="29" fillId="8" borderId="45" xfId="0" applyFont="1" applyFill="1" applyBorder="1" applyAlignment="1">
      <alignment horizontal="center" vertical="center"/>
    </xf>
    <xf numFmtId="0" fontId="29" fillId="8" borderId="46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9" fillId="0" borderId="37" xfId="0" applyFont="1" applyBorder="1"/>
    <xf numFmtId="0" fontId="29" fillId="0" borderId="39" xfId="0" applyFont="1" applyBorder="1" applyAlignment="1">
      <alignment horizontal="center" vertical="center"/>
    </xf>
    <xf numFmtId="0" fontId="34" fillId="0" borderId="38" xfId="0" applyFont="1" applyBorder="1" applyAlignment="1">
      <alignment vertical="center"/>
    </xf>
    <xf numFmtId="0" fontId="34" fillId="0" borderId="0" xfId="0" applyFont="1" applyBorder="1" applyAlignment="1">
      <alignment vertical="center"/>
    </xf>
    <xf numFmtId="0" fontId="25" fillId="0" borderId="0" xfId="4" applyFill="1" applyBorder="1"/>
    <xf numFmtId="0" fontId="34" fillId="0" borderId="43" xfId="0" applyFont="1" applyBorder="1" applyAlignment="1">
      <alignment vertical="center"/>
    </xf>
    <xf numFmtId="0" fontId="35" fillId="0" borderId="0" xfId="0" applyFont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7" fillId="0" borderId="0" xfId="0" applyFont="1" applyBorder="1" applyAlignment="1">
      <alignment vertical="center"/>
    </xf>
    <xf numFmtId="0" fontId="38" fillId="0" borderId="0" xfId="0" applyFont="1" applyBorder="1" applyAlignment="1">
      <alignment vertical="center"/>
    </xf>
    <xf numFmtId="0" fontId="41" fillId="0" borderId="0" xfId="2" applyFont="1" applyFill="1" applyAlignment="1">
      <alignment horizontal="center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0" fontId="39" fillId="0" borderId="28" xfId="2" applyFont="1" applyFill="1" applyBorder="1" applyAlignment="1" applyProtection="1">
      <alignment horizontal="center" vertical="center" wrapText="1"/>
    </xf>
    <xf numFmtId="2" fontId="39" fillId="0" borderId="28" xfId="2" applyNumberFormat="1" applyFont="1" applyFill="1" applyBorder="1" applyAlignment="1" applyProtection="1">
      <alignment horizontal="center" vertical="center"/>
    </xf>
    <xf numFmtId="0" fontId="42" fillId="0" borderId="28" xfId="2" applyFont="1" applyFill="1" applyBorder="1" applyAlignment="1" applyProtection="1">
      <alignment horizontal="center" vertical="center" wrapText="1"/>
    </xf>
    <xf numFmtId="2" fontId="42" fillId="0" borderId="33" xfId="2" applyNumberFormat="1" applyFont="1" applyFill="1" applyBorder="1" applyAlignment="1" applyProtection="1">
      <alignment horizontal="center" vertical="center"/>
    </xf>
    <xf numFmtId="2" fontId="42" fillId="0" borderId="28" xfId="2" applyNumberFormat="1" applyFont="1" applyFill="1" applyBorder="1" applyAlignment="1" applyProtection="1">
      <alignment horizontal="center" vertical="center"/>
    </xf>
    <xf numFmtId="0" fontId="40" fillId="0" borderId="7" xfId="2" applyFont="1" applyFill="1" applyBorder="1" applyAlignment="1" applyProtection="1">
      <alignment horizontal="center" vertical="center" wrapText="1"/>
    </xf>
    <xf numFmtId="2" fontId="2" fillId="3" borderId="47" xfId="2" applyNumberFormat="1" applyFont="1" applyFill="1" applyBorder="1" applyAlignment="1">
      <alignment horizontal="center" vertical="center" wrapText="1"/>
    </xf>
    <xf numFmtId="0" fontId="40" fillId="0" borderId="19" xfId="2" applyFont="1" applyFill="1" applyBorder="1" applyAlignment="1" applyProtection="1">
      <alignment horizontal="center" vertical="center" wrapText="1"/>
    </xf>
    <xf numFmtId="0" fontId="40" fillId="0" borderId="19" xfId="2" quotePrefix="1" applyFont="1" applyFill="1" applyBorder="1" applyAlignment="1" applyProtection="1">
      <alignment horizontal="center" vertical="center" wrapText="1"/>
    </xf>
    <xf numFmtId="0" fontId="40" fillId="0" borderId="24" xfId="2" applyFont="1" applyFill="1" applyBorder="1" applyAlignment="1" applyProtection="1">
      <alignment horizontal="center" vertical="center" wrapText="1"/>
    </xf>
    <xf numFmtId="2" fontId="2" fillId="3" borderId="48" xfId="2" applyNumberFormat="1" applyFont="1" applyFill="1" applyBorder="1" applyAlignment="1">
      <alignment horizontal="center" vertical="center" wrapText="1"/>
    </xf>
    <xf numFmtId="2" fontId="6" fillId="4" borderId="18" xfId="2" applyNumberFormat="1" applyFont="1" applyFill="1" applyBorder="1" applyAlignment="1" applyProtection="1">
      <alignment horizontal="center" vertical="center" wrapText="1"/>
    </xf>
    <xf numFmtId="2" fontId="6" fillId="4" borderId="22" xfId="2" applyNumberFormat="1" applyFont="1" applyFill="1" applyBorder="1" applyAlignment="1" applyProtection="1">
      <alignment horizontal="center" vertical="center" wrapText="1"/>
    </xf>
    <xf numFmtId="0" fontId="43" fillId="0" borderId="7" xfId="2" applyFont="1" applyBorder="1" applyAlignment="1">
      <alignment horizontal="center" vertical="center" wrapText="1"/>
    </xf>
    <xf numFmtId="2" fontId="3" fillId="3" borderId="47" xfId="2" applyNumberFormat="1" applyFont="1" applyFill="1" applyBorder="1" applyAlignment="1" applyProtection="1">
      <alignment horizontal="center" vertical="center" wrapText="1"/>
    </xf>
    <xf numFmtId="2" fontId="7" fillId="4" borderId="8" xfId="2" applyNumberFormat="1" applyFont="1" applyFill="1" applyBorder="1" applyAlignment="1" applyProtection="1">
      <alignment horizontal="center" vertical="center" wrapText="1"/>
    </xf>
    <xf numFmtId="0" fontId="43" fillId="0" borderId="19" xfId="2" applyFont="1" applyBorder="1" applyAlignment="1">
      <alignment horizontal="center" vertical="center" wrapText="1"/>
    </xf>
    <xf numFmtId="2" fontId="7" fillId="4" borderId="20" xfId="2" applyNumberFormat="1" applyFont="1" applyFill="1" applyBorder="1" applyAlignment="1" applyProtection="1">
      <alignment horizontal="center" vertical="center" wrapText="1"/>
    </xf>
    <xf numFmtId="0" fontId="43" fillId="0" borderId="19" xfId="2" quotePrefix="1" applyFont="1" applyBorder="1" applyAlignment="1">
      <alignment horizontal="center" vertical="center" wrapText="1"/>
    </xf>
    <xf numFmtId="0" fontId="4" fillId="0" borderId="20" xfId="2" applyFont="1" applyFill="1" applyBorder="1" applyAlignment="1">
      <alignment horizontal="center" vertical="center"/>
    </xf>
    <xf numFmtId="0" fontId="43" fillId="0" borderId="24" xfId="2" applyFont="1" applyBorder="1" applyAlignment="1">
      <alignment horizontal="center" vertical="center" wrapText="1"/>
    </xf>
    <xf numFmtId="2" fontId="3" fillId="3" borderId="48" xfId="2" applyNumberFormat="1" applyFont="1" applyFill="1" applyBorder="1" applyAlignment="1" applyProtection="1">
      <alignment horizontal="center" vertical="center" wrapText="1"/>
    </xf>
    <xf numFmtId="0" fontId="4" fillId="0" borderId="25" xfId="2" applyFont="1" applyFill="1" applyBorder="1" applyAlignment="1">
      <alignment horizontal="center" vertical="center"/>
    </xf>
    <xf numFmtId="2" fontId="29" fillId="0" borderId="0" xfId="0" applyNumberFormat="1" applyFont="1" applyFill="1" applyBorder="1" applyAlignment="1">
      <alignment vertical="top"/>
    </xf>
    <xf numFmtId="0" fontId="4" fillId="0" borderId="0" xfId="2" applyFont="1" applyFill="1" applyAlignment="1">
      <alignment horizontal="center" vertical="center" wrapText="1"/>
    </xf>
    <xf numFmtId="0" fontId="49" fillId="0" borderId="0" xfId="0" applyFont="1" applyBorder="1" applyAlignment="1">
      <alignment vertical="center"/>
    </xf>
    <xf numFmtId="0" fontId="50" fillId="0" borderId="43" xfId="0" applyFont="1" applyBorder="1" applyAlignment="1">
      <alignment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8" borderId="31" xfId="0" applyFont="1" applyFill="1" applyBorder="1" applyAlignment="1">
      <alignment horizontal="center" vertical="center"/>
    </xf>
    <xf numFmtId="0" fontId="27" fillId="8" borderId="32" xfId="0" applyFont="1" applyFill="1" applyBorder="1" applyAlignment="1">
      <alignment horizontal="center" vertical="center"/>
    </xf>
    <xf numFmtId="0" fontId="27" fillId="8" borderId="33" xfId="0" applyFont="1" applyFill="1" applyBorder="1" applyAlignment="1">
      <alignment horizontal="center" vertical="center"/>
    </xf>
    <xf numFmtId="2" fontId="15" fillId="9" borderId="14" xfId="2" applyNumberFormat="1" applyFont="1" applyFill="1" applyBorder="1" applyAlignment="1" applyProtection="1">
      <alignment horizontal="center" vertical="center"/>
    </xf>
    <xf numFmtId="2" fontId="15" fillId="9" borderId="15" xfId="2" applyNumberFormat="1" applyFont="1" applyFill="1" applyBorder="1" applyAlignment="1" applyProtection="1">
      <alignment horizontal="center" vertical="center"/>
    </xf>
    <xf numFmtId="0" fontId="1" fillId="0" borderId="31" xfId="2" applyFont="1" applyBorder="1" applyAlignment="1">
      <alignment horizontal="left" vertical="top" wrapText="1"/>
    </xf>
    <xf numFmtId="0" fontId="1" fillId="0" borderId="32" xfId="2" applyFont="1" applyBorder="1" applyAlignment="1">
      <alignment horizontal="left" vertical="top" wrapText="1"/>
    </xf>
    <xf numFmtId="0" fontId="1" fillId="0" borderId="33" xfId="2" applyFont="1" applyBorder="1" applyAlignment="1">
      <alignment horizontal="left" vertical="top" wrapText="1"/>
    </xf>
    <xf numFmtId="2" fontId="15" fillId="2" borderId="14" xfId="2" applyNumberFormat="1" applyFont="1" applyFill="1" applyBorder="1" applyAlignment="1" applyProtection="1">
      <alignment horizontal="center" vertical="center"/>
    </xf>
    <xf numFmtId="2" fontId="15" fillId="2" borderId="15" xfId="2" applyNumberFormat="1" applyFont="1" applyFill="1" applyBorder="1" applyAlignment="1" applyProtection="1">
      <alignment horizontal="center" vertical="center"/>
    </xf>
    <xf numFmtId="2" fontId="12" fillId="2" borderId="12" xfId="2" applyNumberFormat="1" applyFont="1" applyFill="1" applyBorder="1" applyAlignment="1" applyProtection="1">
      <alignment horizontal="center"/>
    </xf>
    <xf numFmtId="2" fontId="12" fillId="2" borderId="11" xfId="2" applyNumberFormat="1" applyFont="1" applyFill="1" applyBorder="1" applyAlignment="1" applyProtection="1">
      <alignment horizontal="center"/>
    </xf>
    <xf numFmtId="2" fontId="12" fillId="9" borderId="12" xfId="2" applyNumberFormat="1" applyFont="1" applyFill="1" applyBorder="1" applyAlignment="1" applyProtection="1">
      <alignment horizontal="center"/>
    </xf>
    <xf numFmtId="2" fontId="12" fillId="9" borderId="11" xfId="2" applyNumberFormat="1" applyFont="1" applyFill="1" applyBorder="1" applyAlignment="1" applyProtection="1">
      <alignment horizontal="center"/>
    </xf>
    <xf numFmtId="164" fontId="12" fillId="2" borderId="12" xfId="2" applyNumberFormat="1" applyFont="1" applyFill="1" applyBorder="1" applyAlignment="1" applyProtection="1">
      <alignment horizontal="center"/>
    </xf>
    <xf numFmtId="164" fontId="12" fillId="2" borderId="11" xfId="2" applyNumberFormat="1" applyFont="1" applyFill="1" applyBorder="1" applyAlignment="1" applyProtection="1">
      <alignment horizontal="center"/>
    </xf>
    <xf numFmtId="164" fontId="12" fillId="9" borderId="12" xfId="2" applyNumberFormat="1" applyFont="1" applyFill="1" applyBorder="1" applyAlignment="1" applyProtection="1">
      <alignment horizontal="center"/>
    </xf>
    <xf numFmtId="164" fontId="12" fillId="9" borderId="11" xfId="2" applyNumberFormat="1" applyFont="1" applyFill="1" applyBorder="1" applyAlignment="1" applyProtection="1">
      <alignment horizontal="center"/>
    </xf>
    <xf numFmtId="49" fontId="12" fillId="2" borderId="5" xfId="2" applyNumberFormat="1" applyFont="1" applyFill="1" applyBorder="1" applyAlignment="1" applyProtection="1">
      <alignment horizontal="center"/>
    </xf>
    <xf numFmtId="49" fontId="12" fillId="2" borderId="6" xfId="2" applyNumberFormat="1" applyFont="1" applyFill="1" applyBorder="1" applyAlignment="1" applyProtection="1">
      <alignment horizontal="center"/>
    </xf>
    <xf numFmtId="49" fontId="12" fillId="9" borderId="5" xfId="2" applyNumberFormat="1" applyFont="1" applyFill="1" applyBorder="1" applyAlignment="1" applyProtection="1">
      <alignment horizontal="center"/>
    </xf>
    <xf numFmtId="49" fontId="12" fillId="9" borderId="6" xfId="2" applyNumberFormat="1" applyFont="1" applyFill="1" applyBorder="1" applyAlignment="1" applyProtection="1">
      <alignment horizontal="center"/>
    </xf>
    <xf numFmtId="164" fontId="12" fillId="9" borderId="10" xfId="2" applyNumberFormat="1" applyFont="1" applyFill="1" applyBorder="1" applyAlignment="1" applyProtection="1">
      <alignment horizontal="center"/>
    </xf>
    <xf numFmtId="49" fontId="13" fillId="10" borderId="5" xfId="2" applyNumberFormat="1" applyFont="1" applyFill="1" applyBorder="1" applyAlignment="1" applyProtection="1">
      <alignment horizontal="center"/>
    </xf>
    <xf numFmtId="49" fontId="13" fillId="10" borderId="6" xfId="2" applyNumberFormat="1" applyFont="1" applyFill="1" applyBorder="1" applyAlignment="1" applyProtection="1">
      <alignment horizontal="center"/>
    </xf>
    <xf numFmtId="49" fontId="13" fillId="10" borderId="7" xfId="2" applyNumberFormat="1" applyFont="1" applyFill="1" applyBorder="1" applyAlignment="1" applyProtection="1">
      <alignment horizontal="center"/>
    </xf>
    <xf numFmtId="49" fontId="13" fillId="10" borderId="8" xfId="2" applyNumberFormat="1" applyFont="1" applyFill="1" applyBorder="1" applyAlignment="1" applyProtection="1">
      <alignment horizontal="center"/>
    </xf>
    <xf numFmtId="49" fontId="13" fillId="10" borderId="4" xfId="2" applyNumberFormat="1" applyFont="1" applyFill="1" applyBorder="1" applyAlignment="1" applyProtection="1">
      <alignment horizontal="center"/>
    </xf>
    <xf numFmtId="49" fontId="12" fillId="9" borderId="4" xfId="2" applyNumberFormat="1" applyFont="1" applyFill="1" applyBorder="1" applyAlignment="1" applyProtection="1">
      <alignment horizontal="center"/>
    </xf>
    <xf numFmtId="2" fontId="44" fillId="0" borderId="31" xfId="1" applyNumberFormat="1" applyFont="1" applyFill="1" applyBorder="1" applyAlignment="1" applyProtection="1">
      <alignment horizontal="center" vertical="center" wrapText="1"/>
    </xf>
    <xf numFmtId="2" fontId="44" fillId="0" borderId="32" xfId="1" applyNumberFormat="1" applyFont="1" applyFill="1" applyBorder="1" applyAlignment="1" applyProtection="1">
      <alignment horizontal="center" vertical="center" wrapText="1"/>
    </xf>
    <xf numFmtId="2" fontId="44" fillId="0" borderId="33" xfId="1" applyNumberFormat="1" applyFont="1" applyFill="1" applyBorder="1" applyAlignment="1" applyProtection="1">
      <alignment horizontal="center" vertical="center" wrapText="1"/>
    </xf>
    <xf numFmtId="2" fontId="45" fillId="0" borderId="32" xfId="2" applyNumberFormat="1" applyFont="1" applyFill="1" applyBorder="1" applyAlignment="1" applyProtection="1">
      <alignment horizontal="center" vertical="center" wrapText="1"/>
    </xf>
    <xf numFmtId="2" fontId="45" fillId="0" borderId="33" xfId="2" applyNumberFormat="1" applyFont="1" applyFill="1" applyBorder="1" applyAlignment="1" applyProtection="1">
      <alignment horizontal="center" vertical="center" wrapText="1"/>
    </xf>
    <xf numFmtId="0" fontId="4" fillId="0" borderId="0" xfId="2" applyFont="1" applyFill="1" applyAlignment="1">
      <alignment horizontal="center" vertical="center"/>
    </xf>
    <xf numFmtId="0" fontId="5" fillId="0" borderId="0" xfId="2" applyFont="1" applyFill="1" applyAlignment="1">
      <alignment horizontal="center" vertical="center" wrapText="1"/>
    </xf>
  </cellXfs>
  <cellStyles count="5">
    <cellStyle name="Hyperlink" xfId="4" builtinId="8"/>
    <cellStyle name="Normal" xfId="0" builtinId="0"/>
    <cellStyle name="Normal 2" xfId="2" xr:uid="{00000000-0005-0000-0000-000002000000}"/>
    <cellStyle name="Percent" xfId="3" builtinId="5"/>
    <cellStyle name="Percent 2" xfId="1" xr:uid="{00000000-0005-0000-0000-000004000000}"/>
  </cellStyles>
  <dxfs count="24"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7"/>
      </font>
    </dxf>
  </dxfs>
  <tableStyles count="0" defaultTableStyle="TableStyleMedium2" defaultPivotStyle="PivotStyleLight16"/>
  <colors>
    <mruColors>
      <color rgb="FF00CC00"/>
      <color rgb="FF808000"/>
      <color rgb="FFC6E0B4"/>
      <color rgb="FFF28383"/>
      <color rgb="FFCCF0FF"/>
      <color rgb="FF806210"/>
      <color rgb="FF0086BF"/>
      <color rgb="FFFFFFCC"/>
      <color rgb="FFFF99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Engagment Combat Power Balance</a:t>
            </a:r>
          </a:p>
        </c:rich>
      </c:tx>
      <c:layout>
        <c:manualLayout>
          <c:xMode val="edge"/>
          <c:yMode val="edge"/>
          <c:x val="0.1752822737704659"/>
          <c:y val="0.12046124325488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7342831197111E-2"/>
          <c:y val="0.56169362812686685"/>
          <c:w val="0.83720350570589597"/>
          <c:h val="0.28015877849223386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bg1">
                          <a:lumMod val="9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80CB-4B00-855F-D2A7BAEF529C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'Engagement Calculator 2.0 '!$E$4</c:f>
              <c:numCache>
                <c:formatCode>0.00</c:formatCode>
                <c:ptCount val="1"/>
                <c:pt idx="0">
                  <c:v>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CB-4B00-855F-D2A7BAEF529C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'Engagement Calculator 2.0 '!$G$4</c:f>
              <c:numCache>
                <c:formatCode>0.00</c:formatCode>
                <c:ptCount val="1"/>
                <c:pt idx="0">
                  <c:v>14.34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B-4B00-855F-D2A7BAEF5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295344960"/>
        <c:axId val="295346528"/>
      </c:barChart>
      <c:catAx>
        <c:axId val="2953449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5346528"/>
        <c:crosses val="autoZero"/>
        <c:auto val="1"/>
        <c:lblAlgn val="ctr"/>
        <c:lblOffset val="100"/>
        <c:noMultiLvlLbl val="0"/>
      </c:catAx>
      <c:valAx>
        <c:axId val="295346528"/>
        <c:scaling>
          <c:orientation val="minMax"/>
        </c:scaling>
        <c:delete val="0"/>
        <c:axPos val="b"/>
        <c:majorGridlines>
          <c:spPr>
            <a:ln w="222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44960"/>
        <c:crosses val="autoZero"/>
        <c:crossBetween val="between"/>
        <c:majorUnit val="0.5"/>
        <c:minorUnit val="0.1"/>
      </c:valAx>
      <c:spPr>
        <a:noFill/>
        <a:ln w="1905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Engagment Combat Power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7342831197111E-2"/>
          <c:y val="0.56169362812686685"/>
          <c:w val="0.83720350570589597"/>
          <c:h val="0.28015877849223386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bg1">
                          <a:lumMod val="9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2D50-4783-91E1-46DF6DB5C45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'Engagement Calc 1.0'!$E$4</c:f>
              <c:numCache>
                <c:formatCode>0</c:formatCode>
                <c:ptCount val="1"/>
                <c:pt idx="0">
                  <c:v>303.76350000000008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B-4E2E-BCC8-998B51469C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'Engagement Calc 1.0'!$G$4</c:f>
              <c:numCache>
                <c:formatCode>0</c:formatCode>
                <c:ptCount val="1"/>
                <c:pt idx="0">
                  <c:v>178.67250000000001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7B-4E2E-BCC8-998B5146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295344960"/>
        <c:axId val="295346528"/>
      </c:barChart>
      <c:catAx>
        <c:axId val="2953449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5346528"/>
        <c:crosses val="autoZero"/>
        <c:auto val="1"/>
        <c:lblAlgn val="ctr"/>
        <c:lblOffset val="100"/>
        <c:noMultiLvlLbl val="0"/>
      </c:catAx>
      <c:valAx>
        <c:axId val="295346528"/>
        <c:scaling>
          <c:orientation val="minMax"/>
        </c:scaling>
        <c:delete val="0"/>
        <c:axPos val="b"/>
        <c:majorGridlines>
          <c:spPr>
            <a:ln w="222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44960"/>
        <c:crosses val="autoZero"/>
        <c:crossBetween val="between"/>
        <c:majorUnit val="0.5"/>
        <c:minorUnit val="0.1"/>
      </c:valAx>
      <c:spPr>
        <a:noFill/>
        <a:ln w="1905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7.png"/><Relationship Id="rId21" Type="http://schemas.openxmlformats.org/officeDocument/2006/relationships/image" Target="../media/image31.png"/><Relationship Id="rId42" Type="http://schemas.openxmlformats.org/officeDocument/2006/relationships/image" Target="../media/image52.png"/><Relationship Id="rId63" Type="http://schemas.openxmlformats.org/officeDocument/2006/relationships/image" Target="../media/image73.png"/><Relationship Id="rId84" Type="http://schemas.openxmlformats.org/officeDocument/2006/relationships/image" Target="../media/image94.png"/><Relationship Id="rId138" Type="http://schemas.openxmlformats.org/officeDocument/2006/relationships/image" Target="../media/image148.png"/><Relationship Id="rId159" Type="http://schemas.openxmlformats.org/officeDocument/2006/relationships/image" Target="../media/image169.png"/><Relationship Id="rId107" Type="http://schemas.openxmlformats.org/officeDocument/2006/relationships/image" Target="../media/image117.png"/><Relationship Id="rId11" Type="http://schemas.openxmlformats.org/officeDocument/2006/relationships/image" Target="../media/image21.png"/><Relationship Id="rId32" Type="http://schemas.openxmlformats.org/officeDocument/2006/relationships/image" Target="../media/image42.png"/><Relationship Id="rId53" Type="http://schemas.openxmlformats.org/officeDocument/2006/relationships/image" Target="../media/image63.png"/><Relationship Id="rId74" Type="http://schemas.openxmlformats.org/officeDocument/2006/relationships/image" Target="../media/image84.png"/><Relationship Id="rId128" Type="http://schemas.openxmlformats.org/officeDocument/2006/relationships/image" Target="../media/image138.png"/><Relationship Id="rId149" Type="http://schemas.openxmlformats.org/officeDocument/2006/relationships/image" Target="../media/image159.png"/><Relationship Id="rId5" Type="http://schemas.openxmlformats.org/officeDocument/2006/relationships/image" Target="../media/image15.png"/><Relationship Id="rId95" Type="http://schemas.openxmlformats.org/officeDocument/2006/relationships/image" Target="../media/image105.png"/><Relationship Id="rId160" Type="http://schemas.openxmlformats.org/officeDocument/2006/relationships/image" Target="../media/image170.png"/><Relationship Id="rId22" Type="http://schemas.openxmlformats.org/officeDocument/2006/relationships/image" Target="../media/image32.png"/><Relationship Id="rId43" Type="http://schemas.openxmlformats.org/officeDocument/2006/relationships/image" Target="../media/image53.png"/><Relationship Id="rId64" Type="http://schemas.openxmlformats.org/officeDocument/2006/relationships/image" Target="../media/image74.png"/><Relationship Id="rId118" Type="http://schemas.openxmlformats.org/officeDocument/2006/relationships/image" Target="../media/image128.png"/><Relationship Id="rId139" Type="http://schemas.openxmlformats.org/officeDocument/2006/relationships/image" Target="../media/image149.png"/><Relationship Id="rId85" Type="http://schemas.openxmlformats.org/officeDocument/2006/relationships/image" Target="../media/image95.png"/><Relationship Id="rId150" Type="http://schemas.openxmlformats.org/officeDocument/2006/relationships/image" Target="../media/image160.png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33" Type="http://schemas.openxmlformats.org/officeDocument/2006/relationships/image" Target="../media/image43.png"/><Relationship Id="rId38" Type="http://schemas.openxmlformats.org/officeDocument/2006/relationships/image" Target="../media/image48.png"/><Relationship Id="rId59" Type="http://schemas.openxmlformats.org/officeDocument/2006/relationships/image" Target="../media/image69.png"/><Relationship Id="rId103" Type="http://schemas.openxmlformats.org/officeDocument/2006/relationships/image" Target="../media/image113.png"/><Relationship Id="rId108" Type="http://schemas.openxmlformats.org/officeDocument/2006/relationships/image" Target="../media/image118.png"/><Relationship Id="rId124" Type="http://schemas.openxmlformats.org/officeDocument/2006/relationships/image" Target="../media/image134.png"/><Relationship Id="rId129" Type="http://schemas.openxmlformats.org/officeDocument/2006/relationships/image" Target="../media/image139.png"/><Relationship Id="rId54" Type="http://schemas.openxmlformats.org/officeDocument/2006/relationships/image" Target="../media/image64.png"/><Relationship Id="rId70" Type="http://schemas.openxmlformats.org/officeDocument/2006/relationships/image" Target="../media/image80.png"/><Relationship Id="rId75" Type="http://schemas.openxmlformats.org/officeDocument/2006/relationships/image" Target="../media/image85.png"/><Relationship Id="rId91" Type="http://schemas.openxmlformats.org/officeDocument/2006/relationships/image" Target="../media/image101.png"/><Relationship Id="rId96" Type="http://schemas.openxmlformats.org/officeDocument/2006/relationships/image" Target="../media/image106.png"/><Relationship Id="rId140" Type="http://schemas.openxmlformats.org/officeDocument/2006/relationships/image" Target="../media/image150.png"/><Relationship Id="rId145" Type="http://schemas.openxmlformats.org/officeDocument/2006/relationships/image" Target="../media/image155.png"/><Relationship Id="rId161" Type="http://schemas.openxmlformats.org/officeDocument/2006/relationships/image" Target="../media/image171.png"/><Relationship Id="rId1" Type="http://schemas.openxmlformats.org/officeDocument/2006/relationships/chart" Target="../charts/chart1.xml"/><Relationship Id="rId6" Type="http://schemas.openxmlformats.org/officeDocument/2006/relationships/image" Target="../media/image16.png"/><Relationship Id="rId23" Type="http://schemas.openxmlformats.org/officeDocument/2006/relationships/image" Target="../media/image33.png"/><Relationship Id="rId28" Type="http://schemas.openxmlformats.org/officeDocument/2006/relationships/image" Target="../media/image38.png"/><Relationship Id="rId49" Type="http://schemas.openxmlformats.org/officeDocument/2006/relationships/image" Target="../media/image59.png"/><Relationship Id="rId114" Type="http://schemas.openxmlformats.org/officeDocument/2006/relationships/image" Target="../media/image124.png"/><Relationship Id="rId119" Type="http://schemas.openxmlformats.org/officeDocument/2006/relationships/image" Target="../media/image129.png"/><Relationship Id="rId44" Type="http://schemas.openxmlformats.org/officeDocument/2006/relationships/image" Target="../media/image54.png"/><Relationship Id="rId60" Type="http://schemas.openxmlformats.org/officeDocument/2006/relationships/image" Target="../media/image70.png"/><Relationship Id="rId65" Type="http://schemas.openxmlformats.org/officeDocument/2006/relationships/image" Target="../media/image75.png"/><Relationship Id="rId81" Type="http://schemas.openxmlformats.org/officeDocument/2006/relationships/image" Target="../media/image91.png"/><Relationship Id="rId86" Type="http://schemas.openxmlformats.org/officeDocument/2006/relationships/image" Target="../media/image96.png"/><Relationship Id="rId130" Type="http://schemas.openxmlformats.org/officeDocument/2006/relationships/image" Target="../media/image140.png"/><Relationship Id="rId135" Type="http://schemas.openxmlformats.org/officeDocument/2006/relationships/image" Target="../media/image145.png"/><Relationship Id="rId151" Type="http://schemas.openxmlformats.org/officeDocument/2006/relationships/image" Target="../media/image161.png"/><Relationship Id="rId156" Type="http://schemas.openxmlformats.org/officeDocument/2006/relationships/image" Target="../media/image166.png"/><Relationship Id="rId13" Type="http://schemas.openxmlformats.org/officeDocument/2006/relationships/image" Target="../media/image23.png"/><Relationship Id="rId18" Type="http://schemas.openxmlformats.org/officeDocument/2006/relationships/image" Target="../media/image28.png"/><Relationship Id="rId39" Type="http://schemas.openxmlformats.org/officeDocument/2006/relationships/image" Target="../media/image49.png"/><Relationship Id="rId109" Type="http://schemas.openxmlformats.org/officeDocument/2006/relationships/image" Target="../media/image119.png"/><Relationship Id="rId34" Type="http://schemas.openxmlformats.org/officeDocument/2006/relationships/image" Target="../media/image44.png"/><Relationship Id="rId50" Type="http://schemas.openxmlformats.org/officeDocument/2006/relationships/image" Target="../media/image60.png"/><Relationship Id="rId55" Type="http://schemas.openxmlformats.org/officeDocument/2006/relationships/image" Target="../media/image65.png"/><Relationship Id="rId76" Type="http://schemas.openxmlformats.org/officeDocument/2006/relationships/image" Target="../media/image86.png"/><Relationship Id="rId97" Type="http://schemas.openxmlformats.org/officeDocument/2006/relationships/image" Target="../media/image107.png"/><Relationship Id="rId104" Type="http://schemas.openxmlformats.org/officeDocument/2006/relationships/image" Target="../media/image114.png"/><Relationship Id="rId120" Type="http://schemas.openxmlformats.org/officeDocument/2006/relationships/image" Target="../media/image130.png"/><Relationship Id="rId125" Type="http://schemas.openxmlformats.org/officeDocument/2006/relationships/image" Target="../media/image135.png"/><Relationship Id="rId141" Type="http://schemas.openxmlformats.org/officeDocument/2006/relationships/image" Target="../media/image151.png"/><Relationship Id="rId146" Type="http://schemas.openxmlformats.org/officeDocument/2006/relationships/image" Target="../media/image156.png"/><Relationship Id="rId7" Type="http://schemas.openxmlformats.org/officeDocument/2006/relationships/image" Target="../media/image17.png"/><Relationship Id="rId71" Type="http://schemas.openxmlformats.org/officeDocument/2006/relationships/image" Target="../media/image81.png"/><Relationship Id="rId92" Type="http://schemas.openxmlformats.org/officeDocument/2006/relationships/image" Target="../media/image102.png"/><Relationship Id="rId162" Type="http://schemas.openxmlformats.org/officeDocument/2006/relationships/image" Target="../media/image172.png"/><Relationship Id="rId2" Type="http://schemas.openxmlformats.org/officeDocument/2006/relationships/image" Target="../media/image12.png"/><Relationship Id="rId29" Type="http://schemas.openxmlformats.org/officeDocument/2006/relationships/image" Target="../media/image39.png"/><Relationship Id="rId24" Type="http://schemas.openxmlformats.org/officeDocument/2006/relationships/image" Target="../media/image34.png"/><Relationship Id="rId40" Type="http://schemas.openxmlformats.org/officeDocument/2006/relationships/image" Target="../media/image50.png"/><Relationship Id="rId45" Type="http://schemas.openxmlformats.org/officeDocument/2006/relationships/image" Target="../media/image55.png"/><Relationship Id="rId66" Type="http://schemas.openxmlformats.org/officeDocument/2006/relationships/image" Target="../media/image76.png"/><Relationship Id="rId87" Type="http://schemas.openxmlformats.org/officeDocument/2006/relationships/image" Target="../media/image97.png"/><Relationship Id="rId110" Type="http://schemas.openxmlformats.org/officeDocument/2006/relationships/image" Target="../media/image120.png"/><Relationship Id="rId115" Type="http://schemas.openxmlformats.org/officeDocument/2006/relationships/image" Target="../media/image125.png"/><Relationship Id="rId131" Type="http://schemas.openxmlformats.org/officeDocument/2006/relationships/image" Target="../media/image141.png"/><Relationship Id="rId136" Type="http://schemas.openxmlformats.org/officeDocument/2006/relationships/image" Target="../media/image146.png"/><Relationship Id="rId157" Type="http://schemas.openxmlformats.org/officeDocument/2006/relationships/image" Target="../media/image167.png"/><Relationship Id="rId61" Type="http://schemas.openxmlformats.org/officeDocument/2006/relationships/image" Target="../media/image71.png"/><Relationship Id="rId82" Type="http://schemas.openxmlformats.org/officeDocument/2006/relationships/image" Target="../media/image92.png"/><Relationship Id="rId152" Type="http://schemas.openxmlformats.org/officeDocument/2006/relationships/image" Target="../media/image162.png"/><Relationship Id="rId19" Type="http://schemas.openxmlformats.org/officeDocument/2006/relationships/image" Target="../media/image29.png"/><Relationship Id="rId14" Type="http://schemas.openxmlformats.org/officeDocument/2006/relationships/image" Target="../media/image24.png"/><Relationship Id="rId30" Type="http://schemas.openxmlformats.org/officeDocument/2006/relationships/image" Target="../media/image40.png"/><Relationship Id="rId35" Type="http://schemas.openxmlformats.org/officeDocument/2006/relationships/image" Target="../media/image45.png"/><Relationship Id="rId56" Type="http://schemas.openxmlformats.org/officeDocument/2006/relationships/image" Target="../media/image66.png"/><Relationship Id="rId77" Type="http://schemas.openxmlformats.org/officeDocument/2006/relationships/image" Target="../media/image87.png"/><Relationship Id="rId100" Type="http://schemas.openxmlformats.org/officeDocument/2006/relationships/image" Target="../media/image110.png"/><Relationship Id="rId105" Type="http://schemas.openxmlformats.org/officeDocument/2006/relationships/image" Target="../media/image115.png"/><Relationship Id="rId126" Type="http://schemas.openxmlformats.org/officeDocument/2006/relationships/image" Target="../media/image136.png"/><Relationship Id="rId147" Type="http://schemas.openxmlformats.org/officeDocument/2006/relationships/image" Target="../media/image157.png"/><Relationship Id="rId8" Type="http://schemas.openxmlformats.org/officeDocument/2006/relationships/image" Target="../media/image18.png"/><Relationship Id="rId51" Type="http://schemas.openxmlformats.org/officeDocument/2006/relationships/image" Target="../media/image61.png"/><Relationship Id="rId72" Type="http://schemas.openxmlformats.org/officeDocument/2006/relationships/image" Target="../media/image82.png"/><Relationship Id="rId93" Type="http://schemas.openxmlformats.org/officeDocument/2006/relationships/image" Target="../media/image103.png"/><Relationship Id="rId98" Type="http://schemas.openxmlformats.org/officeDocument/2006/relationships/image" Target="../media/image108.png"/><Relationship Id="rId121" Type="http://schemas.openxmlformats.org/officeDocument/2006/relationships/image" Target="../media/image131.png"/><Relationship Id="rId142" Type="http://schemas.openxmlformats.org/officeDocument/2006/relationships/image" Target="../media/image152.png"/><Relationship Id="rId163" Type="http://schemas.openxmlformats.org/officeDocument/2006/relationships/image" Target="../media/image173.png"/><Relationship Id="rId3" Type="http://schemas.openxmlformats.org/officeDocument/2006/relationships/image" Target="../media/image13.png"/><Relationship Id="rId25" Type="http://schemas.openxmlformats.org/officeDocument/2006/relationships/image" Target="../media/image35.png"/><Relationship Id="rId46" Type="http://schemas.openxmlformats.org/officeDocument/2006/relationships/image" Target="../media/image56.png"/><Relationship Id="rId67" Type="http://schemas.openxmlformats.org/officeDocument/2006/relationships/image" Target="../media/image77.png"/><Relationship Id="rId116" Type="http://schemas.openxmlformats.org/officeDocument/2006/relationships/image" Target="../media/image126.png"/><Relationship Id="rId137" Type="http://schemas.openxmlformats.org/officeDocument/2006/relationships/image" Target="../media/image147.png"/><Relationship Id="rId158" Type="http://schemas.openxmlformats.org/officeDocument/2006/relationships/image" Target="../media/image168.png"/><Relationship Id="rId20" Type="http://schemas.openxmlformats.org/officeDocument/2006/relationships/image" Target="../media/image30.png"/><Relationship Id="rId41" Type="http://schemas.openxmlformats.org/officeDocument/2006/relationships/image" Target="../media/image51.png"/><Relationship Id="rId62" Type="http://schemas.openxmlformats.org/officeDocument/2006/relationships/image" Target="../media/image72.png"/><Relationship Id="rId83" Type="http://schemas.openxmlformats.org/officeDocument/2006/relationships/image" Target="../media/image93.png"/><Relationship Id="rId88" Type="http://schemas.openxmlformats.org/officeDocument/2006/relationships/image" Target="../media/image98.png"/><Relationship Id="rId111" Type="http://schemas.openxmlformats.org/officeDocument/2006/relationships/image" Target="../media/image121.png"/><Relationship Id="rId132" Type="http://schemas.openxmlformats.org/officeDocument/2006/relationships/image" Target="../media/image142.png"/><Relationship Id="rId153" Type="http://schemas.openxmlformats.org/officeDocument/2006/relationships/image" Target="../media/image163.png"/><Relationship Id="rId15" Type="http://schemas.openxmlformats.org/officeDocument/2006/relationships/image" Target="../media/image25.png"/><Relationship Id="rId36" Type="http://schemas.openxmlformats.org/officeDocument/2006/relationships/image" Target="../media/image46.png"/><Relationship Id="rId57" Type="http://schemas.openxmlformats.org/officeDocument/2006/relationships/image" Target="../media/image67.png"/><Relationship Id="rId106" Type="http://schemas.openxmlformats.org/officeDocument/2006/relationships/image" Target="../media/image116.png"/><Relationship Id="rId127" Type="http://schemas.openxmlformats.org/officeDocument/2006/relationships/image" Target="../media/image137.png"/><Relationship Id="rId10" Type="http://schemas.openxmlformats.org/officeDocument/2006/relationships/image" Target="../media/image20.png"/><Relationship Id="rId31" Type="http://schemas.openxmlformats.org/officeDocument/2006/relationships/image" Target="../media/image41.png"/><Relationship Id="rId52" Type="http://schemas.openxmlformats.org/officeDocument/2006/relationships/image" Target="../media/image62.png"/><Relationship Id="rId73" Type="http://schemas.openxmlformats.org/officeDocument/2006/relationships/image" Target="../media/image83.png"/><Relationship Id="rId78" Type="http://schemas.openxmlformats.org/officeDocument/2006/relationships/image" Target="../media/image88.png"/><Relationship Id="rId94" Type="http://schemas.openxmlformats.org/officeDocument/2006/relationships/image" Target="../media/image104.png"/><Relationship Id="rId99" Type="http://schemas.openxmlformats.org/officeDocument/2006/relationships/image" Target="../media/image109.png"/><Relationship Id="rId101" Type="http://schemas.openxmlformats.org/officeDocument/2006/relationships/image" Target="../media/image111.png"/><Relationship Id="rId122" Type="http://schemas.openxmlformats.org/officeDocument/2006/relationships/image" Target="../media/image132.png"/><Relationship Id="rId143" Type="http://schemas.openxmlformats.org/officeDocument/2006/relationships/image" Target="../media/image153.png"/><Relationship Id="rId148" Type="http://schemas.openxmlformats.org/officeDocument/2006/relationships/image" Target="../media/image158.png"/><Relationship Id="rId164" Type="http://schemas.openxmlformats.org/officeDocument/2006/relationships/image" Target="../media/image174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26" Type="http://schemas.openxmlformats.org/officeDocument/2006/relationships/image" Target="../media/image36.png"/><Relationship Id="rId47" Type="http://schemas.openxmlformats.org/officeDocument/2006/relationships/image" Target="../media/image57.png"/><Relationship Id="rId68" Type="http://schemas.openxmlformats.org/officeDocument/2006/relationships/image" Target="../media/image78.png"/><Relationship Id="rId89" Type="http://schemas.openxmlformats.org/officeDocument/2006/relationships/image" Target="../media/image99.png"/><Relationship Id="rId112" Type="http://schemas.openxmlformats.org/officeDocument/2006/relationships/image" Target="../media/image122.png"/><Relationship Id="rId133" Type="http://schemas.openxmlformats.org/officeDocument/2006/relationships/image" Target="../media/image143.png"/><Relationship Id="rId154" Type="http://schemas.openxmlformats.org/officeDocument/2006/relationships/image" Target="../media/image164.png"/><Relationship Id="rId16" Type="http://schemas.openxmlformats.org/officeDocument/2006/relationships/image" Target="../media/image26.png"/><Relationship Id="rId37" Type="http://schemas.openxmlformats.org/officeDocument/2006/relationships/image" Target="../media/image47.png"/><Relationship Id="rId58" Type="http://schemas.openxmlformats.org/officeDocument/2006/relationships/image" Target="../media/image68.png"/><Relationship Id="rId79" Type="http://schemas.openxmlformats.org/officeDocument/2006/relationships/image" Target="../media/image89.png"/><Relationship Id="rId102" Type="http://schemas.openxmlformats.org/officeDocument/2006/relationships/image" Target="../media/image112.png"/><Relationship Id="rId123" Type="http://schemas.openxmlformats.org/officeDocument/2006/relationships/image" Target="../media/image133.png"/><Relationship Id="rId144" Type="http://schemas.openxmlformats.org/officeDocument/2006/relationships/image" Target="../media/image154.png"/><Relationship Id="rId90" Type="http://schemas.openxmlformats.org/officeDocument/2006/relationships/image" Target="../media/image100.png"/><Relationship Id="rId165" Type="http://schemas.openxmlformats.org/officeDocument/2006/relationships/image" Target="../media/image175.png"/><Relationship Id="rId27" Type="http://schemas.openxmlformats.org/officeDocument/2006/relationships/image" Target="../media/image37.png"/><Relationship Id="rId48" Type="http://schemas.openxmlformats.org/officeDocument/2006/relationships/image" Target="../media/image58.png"/><Relationship Id="rId69" Type="http://schemas.openxmlformats.org/officeDocument/2006/relationships/image" Target="../media/image79.png"/><Relationship Id="rId113" Type="http://schemas.openxmlformats.org/officeDocument/2006/relationships/image" Target="../media/image123.png"/><Relationship Id="rId134" Type="http://schemas.openxmlformats.org/officeDocument/2006/relationships/image" Target="../media/image144.png"/><Relationship Id="rId80" Type="http://schemas.openxmlformats.org/officeDocument/2006/relationships/image" Target="../media/image90.png"/><Relationship Id="rId155" Type="http://schemas.openxmlformats.org/officeDocument/2006/relationships/image" Target="../media/image165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97.png"/><Relationship Id="rId21" Type="http://schemas.openxmlformats.org/officeDocument/2006/relationships/image" Target="../media/image201.png"/><Relationship Id="rId42" Type="http://schemas.openxmlformats.org/officeDocument/2006/relationships/image" Target="../media/image222.png"/><Relationship Id="rId63" Type="http://schemas.openxmlformats.org/officeDocument/2006/relationships/image" Target="../media/image243.png"/><Relationship Id="rId84" Type="http://schemas.openxmlformats.org/officeDocument/2006/relationships/image" Target="../media/image264.png"/><Relationship Id="rId138" Type="http://schemas.openxmlformats.org/officeDocument/2006/relationships/image" Target="../media/image318.png"/><Relationship Id="rId159" Type="http://schemas.openxmlformats.org/officeDocument/2006/relationships/image" Target="../media/image339.png"/><Relationship Id="rId107" Type="http://schemas.openxmlformats.org/officeDocument/2006/relationships/image" Target="../media/image287.png"/><Relationship Id="rId11" Type="http://schemas.openxmlformats.org/officeDocument/2006/relationships/image" Target="../media/image191.png"/><Relationship Id="rId32" Type="http://schemas.openxmlformats.org/officeDocument/2006/relationships/image" Target="../media/image212.png"/><Relationship Id="rId53" Type="http://schemas.openxmlformats.org/officeDocument/2006/relationships/image" Target="../media/image233.png"/><Relationship Id="rId74" Type="http://schemas.openxmlformats.org/officeDocument/2006/relationships/image" Target="../media/image254.png"/><Relationship Id="rId128" Type="http://schemas.openxmlformats.org/officeDocument/2006/relationships/image" Target="../media/image308.png"/><Relationship Id="rId149" Type="http://schemas.openxmlformats.org/officeDocument/2006/relationships/image" Target="../media/image329.png"/><Relationship Id="rId5" Type="http://schemas.openxmlformats.org/officeDocument/2006/relationships/image" Target="../media/image185.png"/><Relationship Id="rId95" Type="http://schemas.openxmlformats.org/officeDocument/2006/relationships/image" Target="../media/image275.png"/><Relationship Id="rId160" Type="http://schemas.openxmlformats.org/officeDocument/2006/relationships/image" Target="../media/image340.png"/><Relationship Id="rId22" Type="http://schemas.openxmlformats.org/officeDocument/2006/relationships/image" Target="../media/image202.png"/><Relationship Id="rId43" Type="http://schemas.openxmlformats.org/officeDocument/2006/relationships/image" Target="../media/image223.png"/><Relationship Id="rId64" Type="http://schemas.openxmlformats.org/officeDocument/2006/relationships/image" Target="../media/image244.png"/><Relationship Id="rId118" Type="http://schemas.openxmlformats.org/officeDocument/2006/relationships/image" Target="../media/image298.png"/><Relationship Id="rId139" Type="http://schemas.openxmlformats.org/officeDocument/2006/relationships/image" Target="../media/image319.png"/><Relationship Id="rId85" Type="http://schemas.openxmlformats.org/officeDocument/2006/relationships/image" Target="../media/image265.png"/><Relationship Id="rId150" Type="http://schemas.openxmlformats.org/officeDocument/2006/relationships/image" Target="../media/image330.png"/><Relationship Id="rId12" Type="http://schemas.openxmlformats.org/officeDocument/2006/relationships/image" Target="../media/image192.png"/><Relationship Id="rId17" Type="http://schemas.openxmlformats.org/officeDocument/2006/relationships/image" Target="../media/image197.png"/><Relationship Id="rId33" Type="http://schemas.openxmlformats.org/officeDocument/2006/relationships/image" Target="../media/image213.png"/><Relationship Id="rId38" Type="http://schemas.openxmlformats.org/officeDocument/2006/relationships/image" Target="../media/image218.png"/><Relationship Id="rId59" Type="http://schemas.openxmlformats.org/officeDocument/2006/relationships/image" Target="../media/image239.png"/><Relationship Id="rId103" Type="http://schemas.openxmlformats.org/officeDocument/2006/relationships/image" Target="../media/image283.png"/><Relationship Id="rId108" Type="http://schemas.openxmlformats.org/officeDocument/2006/relationships/image" Target="../media/image288.png"/><Relationship Id="rId124" Type="http://schemas.openxmlformats.org/officeDocument/2006/relationships/image" Target="../media/image304.png"/><Relationship Id="rId129" Type="http://schemas.openxmlformats.org/officeDocument/2006/relationships/image" Target="../media/image309.png"/><Relationship Id="rId54" Type="http://schemas.openxmlformats.org/officeDocument/2006/relationships/image" Target="../media/image234.png"/><Relationship Id="rId70" Type="http://schemas.openxmlformats.org/officeDocument/2006/relationships/image" Target="../media/image250.png"/><Relationship Id="rId75" Type="http://schemas.openxmlformats.org/officeDocument/2006/relationships/image" Target="../media/image255.png"/><Relationship Id="rId91" Type="http://schemas.openxmlformats.org/officeDocument/2006/relationships/image" Target="../media/image271.png"/><Relationship Id="rId96" Type="http://schemas.openxmlformats.org/officeDocument/2006/relationships/image" Target="../media/image276.png"/><Relationship Id="rId140" Type="http://schemas.openxmlformats.org/officeDocument/2006/relationships/image" Target="../media/image320.png"/><Relationship Id="rId145" Type="http://schemas.openxmlformats.org/officeDocument/2006/relationships/image" Target="../media/image325.png"/><Relationship Id="rId161" Type="http://schemas.openxmlformats.org/officeDocument/2006/relationships/image" Target="../media/image341.png"/><Relationship Id="rId166" Type="http://schemas.openxmlformats.org/officeDocument/2006/relationships/image" Target="../media/image346.png"/><Relationship Id="rId1" Type="http://schemas.openxmlformats.org/officeDocument/2006/relationships/chart" Target="../charts/chart2.xml"/><Relationship Id="rId6" Type="http://schemas.openxmlformats.org/officeDocument/2006/relationships/image" Target="../media/image186.png"/><Relationship Id="rId23" Type="http://schemas.openxmlformats.org/officeDocument/2006/relationships/image" Target="../media/image203.png"/><Relationship Id="rId28" Type="http://schemas.openxmlformats.org/officeDocument/2006/relationships/image" Target="../media/image208.png"/><Relationship Id="rId49" Type="http://schemas.openxmlformats.org/officeDocument/2006/relationships/image" Target="../media/image229.png"/><Relationship Id="rId114" Type="http://schemas.openxmlformats.org/officeDocument/2006/relationships/image" Target="../media/image294.png"/><Relationship Id="rId119" Type="http://schemas.openxmlformats.org/officeDocument/2006/relationships/image" Target="../media/image299.png"/><Relationship Id="rId44" Type="http://schemas.openxmlformats.org/officeDocument/2006/relationships/image" Target="../media/image224.png"/><Relationship Id="rId60" Type="http://schemas.openxmlformats.org/officeDocument/2006/relationships/image" Target="../media/image240.png"/><Relationship Id="rId65" Type="http://schemas.openxmlformats.org/officeDocument/2006/relationships/image" Target="../media/image245.png"/><Relationship Id="rId81" Type="http://schemas.openxmlformats.org/officeDocument/2006/relationships/image" Target="../media/image261.png"/><Relationship Id="rId86" Type="http://schemas.openxmlformats.org/officeDocument/2006/relationships/image" Target="../media/image266.png"/><Relationship Id="rId130" Type="http://schemas.openxmlformats.org/officeDocument/2006/relationships/image" Target="../media/image310.png"/><Relationship Id="rId135" Type="http://schemas.openxmlformats.org/officeDocument/2006/relationships/image" Target="../media/image315.png"/><Relationship Id="rId151" Type="http://schemas.openxmlformats.org/officeDocument/2006/relationships/image" Target="../media/image331.png"/><Relationship Id="rId156" Type="http://schemas.openxmlformats.org/officeDocument/2006/relationships/image" Target="../media/image336.png"/><Relationship Id="rId13" Type="http://schemas.openxmlformats.org/officeDocument/2006/relationships/image" Target="../media/image193.png"/><Relationship Id="rId18" Type="http://schemas.openxmlformats.org/officeDocument/2006/relationships/image" Target="../media/image198.png"/><Relationship Id="rId39" Type="http://schemas.openxmlformats.org/officeDocument/2006/relationships/image" Target="../media/image219.png"/><Relationship Id="rId109" Type="http://schemas.openxmlformats.org/officeDocument/2006/relationships/image" Target="../media/image289.png"/><Relationship Id="rId34" Type="http://schemas.openxmlformats.org/officeDocument/2006/relationships/image" Target="../media/image214.png"/><Relationship Id="rId50" Type="http://schemas.openxmlformats.org/officeDocument/2006/relationships/image" Target="../media/image230.png"/><Relationship Id="rId55" Type="http://schemas.openxmlformats.org/officeDocument/2006/relationships/image" Target="../media/image235.png"/><Relationship Id="rId76" Type="http://schemas.openxmlformats.org/officeDocument/2006/relationships/image" Target="../media/image256.png"/><Relationship Id="rId97" Type="http://schemas.openxmlformats.org/officeDocument/2006/relationships/image" Target="../media/image277.png"/><Relationship Id="rId104" Type="http://schemas.openxmlformats.org/officeDocument/2006/relationships/image" Target="../media/image284.png"/><Relationship Id="rId120" Type="http://schemas.openxmlformats.org/officeDocument/2006/relationships/image" Target="../media/image300.png"/><Relationship Id="rId125" Type="http://schemas.openxmlformats.org/officeDocument/2006/relationships/image" Target="../media/image305.png"/><Relationship Id="rId141" Type="http://schemas.openxmlformats.org/officeDocument/2006/relationships/image" Target="../media/image321.png"/><Relationship Id="rId146" Type="http://schemas.openxmlformats.org/officeDocument/2006/relationships/image" Target="../media/image326.png"/><Relationship Id="rId167" Type="http://schemas.openxmlformats.org/officeDocument/2006/relationships/image" Target="../media/image347.png"/><Relationship Id="rId7" Type="http://schemas.openxmlformats.org/officeDocument/2006/relationships/image" Target="../media/image187.png"/><Relationship Id="rId71" Type="http://schemas.openxmlformats.org/officeDocument/2006/relationships/image" Target="../media/image251.png"/><Relationship Id="rId92" Type="http://schemas.openxmlformats.org/officeDocument/2006/relationships/image" Target="../media/image272.png"/><Relationship Id="rId162" Type="http://schemas.openxmlformats.org/officeDocument/2006/relationships/image" Target="../media/image342.png"/><Relationship Id="rId2" Type="http://schemas.openxmlformats.org/officeDocument/2006/relationships/image" Target="../media/image182.png"/><Relationship Id="rId29" Type="http://schemas.openxmlformats.org/officeDocument/2006/relationships/image" Target="../media/image209.png"/><Relationship Id="rId24" Type="http://schemas.openxmlformats.org/officeDocument/2006/relationships/image" Target="../media/image204.png"/><Relationship Id="rId40" Type="http://schemas.openxmlformats.org/officeDocument/2006/relationships/image" Target="../media/image220.png"/><Relationship Id="rId45" Type="http://schemas.openxmlformats.org/officeDocument/2006/relationships/image" Target="../media/image225.png"/><Relationship Id="rId66" Type="http://schemas.openxmlformats.org/officeDocument/2006/relationships/image" Target="../media/image246.png"/><Relationship Id="rId87" Type="http://schemas.openxmlformats.org/officeDocument/2006/relationships/image" Target="../media/image267.png"/><Relationship Id="rId110" Type="http://schemas.openxmlformats.org/officeDocument/2006/relationships/image" Target="../media/image290.png"/><Relationship Id="rId115" Type="http://schemas.openxmlformats.org/officeDocument/2006/relationships/image" Target="../media/image295.png"/><Relationship Id="rId131" Type="http://schemas.openxmlformats.org/officeDocument/2006/relationships/image" Target="../media/image311.png"/><Relationship Id="rId136" Type="http://schemas.openxmlformats.org/officeDocument/2006/relationships/image" Target="../media/image316.png"/><Relationship Id="rId157" Type="http://schemas.openxmlformats.org/officeDocument/2006/relationships/image" Target="../media/image337.png"/><Relationship Id="rId61" Type="http://schemas.openxmlformats.org/officeDocument/2006/relationships/image" Target="../media/image241.png"/><Relationship Id="rId82" Type="http://schemas.openxmlformats.org/officeDocument/2006/relationships/image" Target="../media/image262.png"/><Relationship Id="rId152" Type="http://schemas.openxmlformats.org/officeDocument/2006/relationships/image" Target="../media/image332.png"/><Relationship Id="rId19" Type="http://schemas.openxmlformats.org/officeDocument/2006/relationships/image" Target="../media/image199.png"/><Relationship Id="rId14" Type="http://schemas.openxmlformats.org/officeDocument/2006/relationships/image" Target="../media/image194.png"/><Relationship Id="rId30" Type="http://schemas.openxmlformats.org/officeDocument/2006/relationships/image" Target="../media/image210.png"/><Relationship Id="rId35" Type="http://schemas.openxmlformats.org/officeDocument/2006/relationships/image" Target="../media/image215.png"/><Relationship Id="rId56" Type="http://schemas.openxmlformats.org/officeDocument/2006/relationships/image" Target="../media/image236.png"/><Relationship Id="rId77" Type="http://schemas.openxmlformats.org/officeDocument/2006/relationships/image" Target="../media/image257.png"/><Relationship Id="rId100" Type="http://schemas.openxmlformats.org/officeDocument/2006/relationships/image" Target="../media/image280.png"/><Relationship Id="rId105" Type="http://schemas.openxmlformats.org/officeDocument/2006/relationships/image" Target="../media/image285.png"/><Relationship Id="rId126" Type="http://schemas.openxmlformats.org/officeDocument/2006/relationships/image" Target="../media/image306.png"/><Relationship Id="rId147" Type="http://schemas.openxmlformats.org/officeDocument/2006/relationships/image" Target="../media/image327.png"/><Relationship Id="rId8" Type="http://schemas.openxmlformats.org/officeDocument/2006/relationships/image" Target="../media/image188.png"/><Relationship Id="rId51" Type="http://schemas.openxmlformats.org/officeDocument/2006/relationships/image" Target="../media/image231.png"/><Relationship Id="rId72" Type="http://schemas.openxmlformats.org/officeDocument/2006/relationships/image" Target="../media/image252.png"/><Relationship Id="rId93" Type="http://schemas.openxmlformats.org/officeDocument/2006/relationships/image" Target="../media/image273.png"/><Relationship Id="rId98" Type="http://schemas.openxmlformats.org/officeDocument/2006/relationships/image" Target="../media/image278.png"/><Relationship Id="rId121" Type="http://schemas.openxmlformats.org/officeDocument/2006/relationships/image" Target="../media/image301.png"/><Relationship Id="rId142" Type="http://schemas.openxmlformats.org/officeDocument/2006/relationships/image" Target="../media/image322.png"/><Relationship Id="rId163" Type="http://schemas.openxmlformats.org/officeDocument/2006/relationships/image" Target="../media/image343.png"/><Relationship Id="rId3" Type="http://schemas.openxmlformats.org/officeDocument/2006/relationships/image" Target="../media/image183.png"/><Relationship Id="rId25" Type="http://schemas.openxmlformats.org/officeDocument/2006/relationships/image" Target="../media/image205.png"/><Relationship Id="rId46" Type="http://schemas.openxmlformats.org/officeDocument/2006/relationships/image" Target="../media/image226.png"/><Relationship Id="rId67" Type="http://schemas.openxmlformats.org/officeDocument/2006/relationships/image" Target="../media/image247.png"/><Relationship Id="rId116" Type="http://schemas.openxmlformats.org/officeDocument/2006/relationships/image" Target="../media/image296.png"/><Relationship Id="rId137" Type="http://schemas.openxmlformats.org/officeDocument/2006/relationships/image" Target="../media/image317.png"/><Relationship Id="rId158" Type="http://schemas.openxmlformats.org/officeDocument/2006/relationships/image" Target="../media/image338.png"/><Relationship Id="rId20" Type="http://schemas.openxmlformats.org/officeDocument/2006/relationships/image" Target="../media/image200.png"/><Relationship Id="rId41" Type="http://schemas.openxmlformats.org/officeDocument/2006/relationships/image" Target="../media/image221.png"/><Relationship Id="rId62" Type="http://schemas.openxmlformats.org/officeDocument/2006/relationships/image" Target="../media/image242.png"/><Relationship Id="rId83" Type="http://schemas.openxmlformats.org/officeDocument/2006/relationships/image" Target="../media/image263.png"/><Relationship Id="rId88" Type="http://schemas.openxmlformats.org/officeDocument/2006/relationships/image" Target="../media/image268.png"/><Relationship Id="rId111" Type="http://schemas.openxmlformats.org/officeDocument/2006/relationships/image" Target="../media/image291.png"/><Relationship Id="rId132" Type="http://schemas.openxmlformats.org/officeDocument/2006/relationships/image" Target="../media/image312.png"/><Relationship Id="rId153" Type="http://schemas.openxmlformats.org/officeDocument/2006/relationships/image" Target="../media/image333.png"/><Relationship Id="rId15" Type="http://schemas.openxmlformats.org/officeDocument/2006/relationships/image" Target="../media/image195.png"/><Relationship Id="rId36" Type="http://schemas.openxmlformats.org/officeDocument/2006/relationships/image" Target="../media/image216.png"/><Relationship Id="rId57" Type="http://schemas.openxmlformats.org/officeDocument/2006/relationships/image" Target="../media/image237.png"/><Relationship Id="rId106" Type="http://schemas.openxmlformats.org/officeDocument/2006/relationships/image" Target="../media/image286.png"/><Relationship Id="rId127" Type="http://schemas.openxmlformats.org/officeDocument/2006/relationships/image" Target="../media/image307.png"/><Relationship Id="rId10" Type="http://schemas.openxmlformats.org/officeDocument/2006/relationships/image" Target="../media/image190.png"/><Relationship Id="rId31" Type="http://schemas.openxmlformats.org/officeDocument/2006/relationships/image" Target="../media/image211.png"/><Relationship Id="rId52" Type="http://schemas.openxmlformats.org/officeDocument/2006/relationships/image" Target="../media/image232.png"/><Relationship Id="rId73" Type="http://schemas.openxmlformats.org/officeDocument/2006/relationships/image" Target="../media/image253.png"/><Relationship Id="rId78" Type="http://schemas.openxmlformats.org/officeDocument/2006/relationships/image" Target="../media/image258.png"/><Relationship Id="rId94" Type="http://schemas.openxmlformats.org/officeDocument/2006/relationships/image" Target="../media/image274.png"/><Relationship Id="rId99" Type="http://schemas.openxmlformats.org/officeDocument/2006/relationships/image" Target="../media/image279.png"/><Relationship Id="rId101" Type="http://schemas.openxmlformats.org/officeDocument/2006/relationships/image" Target="../media/image281.png"/><Relationship Id="rId122" Type="http://schemas.openxmlformats.org/officeDocument/2006/relationships/image" Target="../media/image302.png"/><Relationship Id="rId143" Type="http://schemas.openxmlformats.org/officeDocument/2006/relationships/image" Target="../media/image323.png"/><Relationship Id="rId148" Type="http://schemas.openxmlformats.org/officeDocument/2006/relationships/image" Target="../media/image328.png"/><Relationship Id="rId164" Type="http://schemas.openxmlformats.org/officeDocument/2006/relationships/image" Target="../media/image344.png"/><Relationship Id="rId4" Type="http://schemas.openxmlformats.org/officeDocument/2006/relationships/image" Target="../media/image184.png"/><Relationship Id="rId9" Type="http://schemas.openxmlformats.org/officeDocument/2006/relationships/image" Target="../media/image189.png"/><Relationship Id="rId26" Type="http://schemas.openxmlformats.org/officeDocument/2006/relationships/image" Target="../media/image206.png"/><Relationship Id="rId47" Type="http://schemas.openxmlformats.org/officeDocument/2006/relationships/image" Target="../media/image227.png"/><Relationship Id="rId68" Type="http://schemas.openxmlformats.org/officeDocument/2006/relationships/image" Target="../media/image248.png"/><Relationship Id="rId89" Type="http://schemas.openxmlformats.org/officeDocument/2006/relationships/image" Target="../media/image269.png"/><Relationship Id="rId112" Type="http://schemas.openxmlformats.org/officeDocument/2006/relationships/image" Target="../media/image292.png"/><Relationship Id="rId133" Type="http://schemas.openxmlformats.org/officeDocument/2006/relationships/image" Target="../media/image313.png"/><Relationship Id="rId154" Type="http://schemas.openxmlformats.org/officeDocument/2006/relationships/image" Target="../media/image334.png"/><Relationship Id="rId16" Type="http://schemas.openxmlformats.org/officeDocument/2006/relationships/image" Target="../media/image196.png"/><Relationship Id="rId37" Type="http://schemas.openxmlformats.org/officeDocument/2006/relationships/image" Target="../media/image217.png"/><Relationship Id="rId58" Type="http://schemas.openxmlformats.org/officeDocument/2006/relationships/image" Target="../media/image238.png"/><Relationship Id="rId79" Type="http://schemas.openxmlformats.org/officeDocument/2006/relationships/image" Target="../media/image259.png"/><Relationship Id="rId102" Type="http://schemas.openxmlformats.org/officeDocument/2006/relationships/image" Target="../media/image282.png"/><Relationship Id="rId123" Type="http://schemas.openxmlformats.org/officeDocument/2006/relationships/image" Target="../media/image303.png"/><Relationship Id="rId144" Type="http://schemas.openxmlformats.org/officeDocument/2006/relationships/image" Target="../media/image324.png"/><Relationship Id="rId90" Type="http://schemas.openxmlformats.org/officeDocument/2006/relationships/image" Target="../media/image270.png"/><Relationship Id="rId165" Type="http://schemas.openxmlformats.org/officeDocument/2006/relationships/image" Target="../media/image345.png"/><Relationship Id="rId27" Type="http://schemas.openxmlformats.org/officeDocument/2006/relationships/image" Target="../media/image207.png"/><Relationship Id="rId48" Type="http://schemas.openxmlformats.org/officeDocument/2006/relationships/image" Target="../media/image228.png"/><Relationship Id="rId69" Type="http://schemas.openxmlformats.org/officeDocument/2006/relationships/image" Target="../media/image249.png"/><Relationship Id="rId113" Type="http://schemas.openxmlformats.org/officeDocument/2006/relationships/image" Target="../media/image293.png"/><Relationship Id="rId134" Type="http://schemas.openxmlformats.org/officeDocument/2006/relationships/image" Target="../media/image314.png"/><Relationship Id="rId80" Type="http://schemas.openxmlformats.org/officeDocument/2006/relationships/image" Target="../media/image260.png"/><Relationship Id="rId155" Type="http://schemas.openxmlformats.org/officeDocument/2006/relationships/image" Target="../media/image335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09.png"/><Relationship Id="rId21" Type="http://schemas.openxmlformats.org/officeDocument/2006/relationships/image" Target="../media/image330.png"/><Relationship Id="rId42" Type="http://schemas.openxmlformats.org/officeDocument/2006/relationships/image" Target="../media/image310.png"/><Relationship Id="rId63" Type="http://schemas.openxmlformats.org/officeDocument/2006/relationships/image" Target="../media/image268.png"/><Relationship Id="rId84" Type="http://schemas.openxmlformats.org/officeDocument/2006/relationships/image" Target="../media/image288.png"/><Relationship Id="rId138" Type="http://schemas.openxmlformats.org/officeDocument/2006/relationships/image" Target="../media/image231.png"/><Relationship Id="rId159" Type="http://schemas.openxmlformats.org/officeDocument/2006/relationships/image" Target="../media/image253.png"/><Relationship Id="rId107" Type="http://schemas.openxmlformats.org/officeDocument/2006/relationships/image" Target="../media/image223.png"/><Relationship Id="rId11" Type="http://schemas.openxmlformats.org/officeDocument/2006/relationships/image" Target="../media/image325.png"/><Relationship Id="rId32" Type="http://schemas.openxmlformats.org/officeDocument/2006/relationships/image" Target="../media/image306.png"/><Relationship Id="rId53" Type="http://schemas.openxmlformats.org/officeDocument/2006/relationships/image" Target="../media/image265.png"/><Relationship Id="rId74" Type="http://schemas.openxmlformats.org/officeDocument/2006/relationships/image" Target="../media/image260.png"/><Relationship Id="rId128" Type="http://schemas.openxmlformats.org/officeDocument/2006/relationships/image" Target="../media/image225.png"/><Relationship Id="rId149" Type="http://schemas.openxmlformats.org/officeDocument/2006/relationships/image" Target="../media/image243.png"/><Relationship Id="rId5" Type="http://schemas.openxmlformats.org/officeDocument/2006/relationships/image" Target="../media/image340.png"/><Relationship Id="rId95" Type="http://schemas.openxmlformats.org/officeDocument/2006/relationships/image" Target="../media/image215.png"/><Relationship Id="rId160" Type="http://schemas.openxmlformats.org/officeDocument/2006/relationships/image" Target="../media/image254.png"/><Relationship Id="rId22" Type="http://schemas.openxmlformats.org/officeDocument/2006/relationships/image" Target="../media/image331.png"/><Relationship Id="rId43" Type="http://schemas.openxmlformats.org/officeDocument/2006/relationships/image" Target="../media/image311.png"/><Relationship Id="rId64" Type="http://schemas.openxmlformats.org/officeDocument/2006/relationships/image" Target="../media/image269.png"/><Relationship Id="rId118" Type="http://schemas.openxmlformats.org/officeDocument/2006/relationships/image" Target="../media/image210.png"/><Relationship Id="rId139" Type="http://schemas.openxmlformats.org/officeDocument/2006/relationships/image" Target="../media/image232.png"/><Relationship Id="rId85" Type="http://schemas.openxmlformats.org/officeDocument/2006/relationships/image" Target="../media/image299.png"/><Relationship Id="rId150" Type="http://schemas.openxmlformats.org/officeDocument/2006/relationships/image" Target="../media/image244.png"/><Relationship Id="rId12" Type="http://schemas.openxmlformats.org/officeDocument/2006/relationships/image" Target="../media/image326.png"/><Relationship Id="rId17" Type="http://schemas.openxmlformats.org/officeDocument/2006/relationships/image" Target="../media/image327.png"/><Relationship Id="rId33" Type="http://schemas.openxmlformats.org/officeDocument/2006/relationships/image" Target="../media/image320.png"/><Relationship Id="rId38" Type="http://schemas.openxmlformats.org/officeDocument/2006/relationships/image" Target="../media/image291.png"/><Relationship Id="rId59" Type="http://schemas.openxmlformats.org/officeDocument/2006/relationships/image" Target="../media/image266.png"/><Relationship Id="rId103" Type="http://schemas.openxmlformats.org/officeDocument/2006/relationships/image" Target="../media/image203.png"/><Relationship Id="rId108" Type="http://schemas.openxmlformats.org/officeDocument/2006/relationships/image" Target="../media/image191.png"/><Relationship Id="rId124" Type="http://schemas.openxmlformats.org/officeDocument/2006/relationships/image" Target="../media/image196.png"/><Relationship Id="rId129" Type="http://schemas.openxmlformats.org/officeDocument/2006/relationships/image" Target="../media/image188.png"/><Relationship Id="rId54" Type="http://schemas.openxmlformats.org/officeDocument/2006/relationships/image" Target="../media/image279.png"/><Relationship Id="rId70" Type="http://schemas.openxmlformats.org/officeDocument/2006/relationships/image" Target="../media/image274.png"/><Relationship Id="rId75" Type="http://schemas.openxmlformats.org/officeDocument/2006/relationships/image" Target="../media/image261.png"/><Relationship Id="rId91" Type="http://schemas.openxmlformats.org/officeDocument/2006/relationships/image" Target="../media/image183.png"/><Relationship Id="rId96" Type="http://schemas.openxmlformats.org/officeDocument/2006/relationships/image" Target="../media/image216.png"/><Relationship Id="rId140" Type="http://schemas.openxmlformats.org/officeDocument/2006/relationships/image" Target="../media/image234.png"/><Relationship Id="rId145" Type="http://schemas.openxmlformats.org/officeDocument/2006/relationships/image" Target="../media/image239.png"/><Relationship Id="rId161" Type="http://schemas.openxmlformats.org/officeDocument/2006/relationships/image" Target="../media/image255.png"/><Relationship Id="rId1" Type="http://schemas.openxmlformats.org/officeDocument/2006/relationships/image" Target="../media/image336.png"/><Relationship Id="rId6" Type="http://schemas.openxmlformats.org/officeDocument/2006/relationships/image" Target="../media/image341.png"/><Relationship Id="rId23" Type="http://schemas.openxmlformats.org/officeDocument/2006/relationships/image" Target="../media/image332.png"/><Relationship Id="rId28" Type="http://schemas.openxmlformats.org/officeDocument/2006/relationships/image" Target="../media/image302.png"/><Relationship Id="rId49" Type="http://schemas.openxmlformats.org/officeDocument/2006/relationships/image" Target="../media/image277.png"/><Relationship Id="rId114" Type="http://schemas.openxmlformats.org/officeDocument/2006/relationships/image" Target="../media/image206.png"/><Relationship Id="rId119" Type="http://schemas.openxmlformats.org/officeDocument/2006/relationships/image" Target="../media/image211.png"/><Relationship Id="rId44" Type="http://schemas.openxmlformats.org/officeDocument/2006/relationships/image" Target="../media/image292.png"/><Relationship Id="rId60" Type="http://schemas.openxmlformats.org/officeDocument/2006/relationships/image" Target="../media/image284.png"/><Relationship Id="rId65" Type="http://schemas.openxmlformats.org/officeDocument/2006/relationships/image" Target="../media/image270.png"/><Relationship Id="rId81" Type="http://schemas.openxmlformats.org/officeDocument/2006/relationships/image" Target="../media/image285.png"/><Relationship Id="rId86" Type="http://schemas.openxmlformats.org/officeDocument/2006/relationships/image" Target="../media/image300.png"/><Relationship Id="rId130" Type="http://schemas.openxmlformats.org/officeDocument/2006/relationships/image" Target="../media/image189.png"/><Relationship Id="rId135" Type="http://schemas.openxmlformats.org/officeDocument/2006/relationships/image" Target="../media/image228.png"/><Relationship Id="rId151" Type="http://schemas.openxmlformats.org/officeDocument/2006/relationships/image" Target="../media/image245.png"/><Relationship Id="rId156" Type="http://schemas.openxmlformats.org/officeDocument/2006/relationships/image" Target="../media/image250.png"/><Relationship Id="rId13" Type="http://schemas.openxmlformats.org/officeDocument/2006/relationships/image" Target="../media/image313.png"/><Relationship Id="rId18" Type="http://schemas.openxmlformats.org/officeDocument/2006/relationships/image" Target="../media/image317.png"/><Relationship Id="rId39" Type="http://schemas.openxmlformats.org/officeDocument/2006/relationships/image" Target="../media/image307.png"/><Relationship Id="rId109" Type="http://schemas.openxmlformats.org/officeDocument/2006/relationships/image" Target="../media/image192.png"/><Relationship Id="rId34" Type="http://schemas.openxmlformats.org/officeDocument/2006/relationships/image" Target="../media/image321.png"/><Relationship Id="rId50" Type="http://schemas.openxmlformats.org/officeDocument/2006/relationships/image" Target="../media/image278.png"/><Relationship Id="rId55" Type="http://schemas.openxmlformats.org/officeDocument/2006/relationships/image" Target="../media/image280.png"/><Relationship Id="rId76" Type="http://schemas.openxmlformats.org/officeDocument/2006/relationships/image" Target="../media/image262.png"/><Relationship Id="rId97" Type="http://schemas.openxmlformats.org/officeDocument/2006/relationships/image" Target="../media/image217.png"/><Relationship Id="rId104" Type="http://schemas.openxmlformats.org/officeDocument/2006/relationships/image" Target="../media/image204.png"/><Relationship Id="rId120" Type="http://schemas.openxmlformats.org/officeDocument/2006/relationships/image" Target="../media/image184.png"/><Relationship Id="rId125" Type="http://schemas.openxmlformats.org/officeDocument/2006/relationships/image" Target="../media/image197.png"/><Relationship Id="rId141" Type="http://schemas.openxmlformats.org/officeDocument/2006/relationships/image" Target="../media/image235.png"/><Relationship Id="rId146" Type="http://schemas.openxmlformats.org/officeDocument/2006/relationships/image" Target="../media/image240.png"/><Relationship Id="rId7" Type="http://schemas.openxmlformats.org/officeDocument/2006/relationships/image" Target="../media/image342.png"/><Relationship Id="rId71" Type="http://schemas.openxmlformats.org/officeDocument/2006/relationships/image" Target="../media/image275.png"/><Relationship Id="rId92" Type="http://schemas.openxmlformats.org/officeDocument/2006/relationships/image" Target="../media/image212.png"/><Relationship Id="rId162" Type="http://schemas.openxmlformats.org/officeDocument/2006/relationships/image" Target="../media/image256.png"/><Relationship Id="rId2" Type="http://schemas.openxmlformats.org/officeDocument/2006/relationships/image" Target="../media/image337.png"/><Relationship Id="rId29" Type="http://schemas.openxmlformats.org/officeDocument/2006/relationships/image" Target="../media/image303.png"/><Relationship Id="rId24" Type="http://schemas.openxmlformats.org/officeDocument/2006/relationships/image" Target="../media/image333.png"/><Relationship Id="rId40" Type="http://schemas.openxmlformats.org/officeDocument/2006/relationships/image" Target="../media/image308.png"/><Relationship Id="rId45" Type="http://schemas.openxmlformats.org/officeDocument/2006/relationships/image" Target="../media/image293.png"/><Relationship Id="rId66" Type="http://schemas.openxmlformats.org/officeDocument/2006/relationships/image" Target="../media/image271.png"/><Relationship Id="rId87" Type="http://schemas.openxmlformats.org/officeDocument/2006/relationships/image" Target="../media/image323.png"/><Relationship Id="rId110" Type="http://schemas.openxmlformats.org/officeDocument/2006/relationships/image" Target="../media/image193.png"/><Relationship Id="rId115" Type="http://schemas.openxmlformats.org/officeDocument/2006/relationships/image" Target="../media/image207.png"/><Relationship Id="rId131" Type="http://schemas.openxmlformats.org/officeDocument/2006/relationships/image" Target="../media/image190.png"/><Relationship Id="rId136" Type="http://schemas.openxmlformats.org/officeDocument/2006/relationships/image" Target="../media/image229.png"/><Relationship Id="rId157" Type="http://schemas.openxmlformats.org/officeDocument/2006/relationships/image" Target="../media/image251.png"/><Relationship Id="rId61" Type="http://schemas.openxmlformats.org/officeDocument/2006/relationships/image" Target="../media/image334.png"/><Relationship Id="rId82" Type="http://schemas.openxmlformats.org/officeDocument/2006/relationships/image" Target="../media/image286.png"/><Relationship Id="rId152" Type="http://schemas.openxmlformats.org/officeDocument/2006/relationships/image" Target="../media/image246.png"/><Relationship Id="rId19" Type="http://schemas.openxmlformats.org/officeDocument/2006/relationships/image" Target="../media/image328.png"/><Relationship Id="rId14" Type="http://schemas.openxmlformats.org/officeDocument/2006/relationships/image" Target="../media/image314.png"/><Relationship Id="rId30" Type="http://schemas.openxmlformats.org/officeDocument/2006/relationships/image" Target="../media/image304.png"/><Relationship Id="rId35" Type="http://schemas.openxmlformats.org/officeDocument/2006/relationships/image" Target="../media/image322.png"/><Relationship Id="rId56" Type="http://schemas.openxmlformats.org/officeDocument/2006/relationships/image" Target="../media/image281.png"/><Relationship Id="rId77" Type="http://schemas.openxmlformats.org/officeDocument/2006/relationships/image" Target="../media/image263.png"/><Relationship Id="rId100" Type="http://schemas.openxmlformats.org/officeDocument/2006/relationships/image" Target="../media/image220.png"/><Relationship Id="rId105" Type="http://schemas.openxmlformats.org/officeDocument/2006/relationships/image" Target="../media/image221.png"/><Relationship Id="rId126" Type="http://schemas.openxmlformats.org/officeDocument/2006/relationships/image" Target="../media/image198.png"/><Relationship Id="rId147" Type="http://schemas.openxmlformats.org/officeDocument/2006/relationships/image" Target="../media/image241.png"/><Relationship Id="rId8" Type="http://schemas.openxmlformats.org/officeDocument/2006/relationships/image" Target="../media/image343.png"/><Relationship Id="rId51" Type="http://schemas.openxmlformats.org/officeDocument/2006/relationships/image" Target="../media/image297.png"/><Relationship Id="rId72" Type="http://schemas.openxmlformats.org/officeDocument/2006/relationships/image" Target="../media/image258.png"/><Relationship Id="rId93" Type="http://schemas.openxmlformats.org/officeDocument/2006/relationships/image" Target="../media/image213.png"/><Relationship Id="rId98" Type="http://schemas.openxmlformats.org/officeDocument/2006/relationships/image" Target="../media/image218.png"/><Relationship Id="rId121" Type="http://schemas.openxmlformats.org/officeDocument/2006/relationships/image" Target="../media/image185.png"/><Relationship Id="rId142" Type="http://schemas.openxmlformats.org/officeDocument/2006/relationships/image" Target="../media/image236.png"/><Relationship Id="rId163" Type="http://schemas.openxmlformats.org/officeDocument/2006/relationships/image" Target="../media/image233.png"/><Relationship Id="rId3" Type="http://schemas.openxmlformats.org/officeDocument/2006/relationships/image" Target="../media/image338.png"/><Relationship Id="rId25" Type="http://schemas.openxmlformats.org/officeDocument/2006/relationships/image" Target="../media/image318.png"/><Relationship Id="rId46" Type="http://schemas.openxmlformats.org/officeDocument/2006/relationships/image" Target="../media/image294.png"/><Relationship Id="rId67" Type="http://schemas.openxmlformats.org/officeDocument/2006/relationships/image" Target="../media/image272.png"/><Relationship Id="rId116" Type="http://schemas.openxmlformats.org/officeDocument/2006/relationships/image" Target="../media/image208.png"/><Relationship Id="rId137" Type="http://schemas.openxmlformats.org/officeDocument/2006/relationships/image" Target="../media/image230.png"/><Relationship Id="rId158" Type="http://schemas.openxmlformats.org/officeDocument/2006/relationships/image" Target="../media/image252.png"/><Relationship Id="rId20" Type="http://schemas.openxmlformats.org/officeDocument/2006/relationships/image" Target="../media/image329.png"/><Relationship Id="rId41" Type="http://schemas.openxmlformats.org/officeDocument/2006/relationships/image" Target="../media/image309.png"/><Relationship Id="rId62" Type="http://schemas.openxmlformats.org/officeDocument/2006/relationships/image" Target="../media/image267.png"/><Relationship Id="rId83" Type="http://schemas.openxmlformats.org/officeDocument/2006/relationships/image" Target="../media/image287.png"/><Relationship Id="rId88" Type="http://schemas.openxmlformats.org/officeDocument/2006/relationships/image" Target="../media/image324.png"/><Relationship Id="rId111" Type="http://schemas.openxmlformats.org/officeDocument/2006/relationships/image" Target="../media/image194.png"/><Relationship Id="rId132" Type="http://schemas.openxmlformats.org/officeDocument/2006/relationships/image" Target="../media/image200.png"/><Relationship Id="rId153" Type="http://schemas.openxmlformats.org/officeDocument/2006/relationships/image" Target="../media/image247.png"/><Relationship Id="rId15" Type="http://schemas.openxmlformats.org/officeDocument/2006/relationships/image" Target="../media/image315.png"/><Relationship Id="rId36" Type="http://schemas.openxmlformats.org/officeDocument/2006/relationships/image" Target="../media/image289.png"/><Relationship Id="rId57" Type="http://schemas.openxmlformats.org/officeDocument/2006/relationships/image" Target="../media/image282.png"/><Relationship Id="rId106" Type="http://schemas.openxmlformats.org/officeDocument/2006/relationships/image" Target="../media/image222.png"/><Relationship Id="rId127" Type="http://schemas.openxmlformats.org/officeDocument/2006/relationships/image" Target="../media/image199.png"/><Relationship Id="rId10" Type="http://schemas.openxmlformats.org/officeDocument/2006/relationships/image" Target="../media/image345.png"/><Relationship Id="rId31" Type="http://schemas.openxmlformats.org/officeDocument/2006/relationships/image" Target="../media/image305.png"/><Relationship Id="rId52" Type="http://schemas.openxmlformats.org/officeDocument/2006/relationships/image" Target="../media/image298.png"/><Relationship Id="rId73" Type="http://schemas.openxmlformats.org/officeDocument/2006/relationships/image" Target="../media/image259.png"/><Relationship Id="rId78" Type="http://schemas.openxmlformats.org/officeDocument/2006/relationships/image" Target="../media/image264.png"/><Relationship Id="rId94" Type="http://schemas.openxmlformats.org/officeDocument/2006/relationships/image" Target="../media/image214.png"/><Relationship Id="rId99" Type="http://schemas.openxmlformats.org/officeDocument/2006/relationships/image" Target="../media/image219.png"/><Relationship Id="rId101" Type="http://schemas.openxmlformats.org/officeDocument/2006/relationships/image" Target="../media/image201.png"/><Relationship Id="rId122" Type="http://schemas.openxmlformats.org/officeDocument/2006/relationships/image" Target="../media/image186.png"/><Relationship Id="rId143" Type="http://schemas.openxmlformats.org/officeDocument/2006/relationships/image" Target="../media/image237.png"/><Relationship Id="rId148" Type="http://schemas.openxmlformats.org/officeDocument/2006/relationships/image" Target="../media/image242.png"/><Relationship Id="rId164" Type="http://schemas.openxmlformats.org/officeDocument/2006/relationships/image" Target="../media/image187.png"/><Relationship Id="rId4" Type="http://schemas.openxmlformats.org/officeDocument/2006/relationships/image" Target="../media/image339.png"/><Relationship Id="rId9" Type="http://schemas.openxmlformats.org/officeDocument/2006/relationships/image" Target="../media/image344.png"/><Relationship Id="rId26" Type="http://schemas.openxmlformats.org/officeDocument/2006/relationships/image" Target="../media/image319.png"/><Relationship Id="rId47" Type="http://schemas.openxmlformats.org/officeDocument/2006/relationships/image" Target="../media/image295.png"/><Relationship Id="rId68" Type="http://schemas.openxmlformats.org/officeDocument/2006/relationships/image" Target="../media/image257.png"/><Relationship Id="rId89" Type="http://schemas.openxmlformats.org/officeDocument/2006/relationships/image" Target="../media/image335.png"/><Relationship Id="rId112" Type="http://schemas.openxmlformats.org/officeDocument/2006/relationships/image" Target="../media/image205.png"/><Relationship Id="rId133" Type="http://schemas.openxmlformats.org/officeDocument/2006/relationships/image" Target="../media/image226.png"/><Relationship Id="rId154" Type="http://schemas.openxmlformats.org/officeDocument/2006/relationships/image" Target="../media/image248.png"/><Relationship Id="rId16" Type="http://schemas.openxmlformats.org/officeDocument/2006/relationships/image" Target="../media/image316.png"/><Relationship Id="rId37" Type="http://schemas.openxmlformats.org/officeDocument/2006/relationships/image" Target="../media/image290.png"/><Relationship Id="rId58" Type="http://schemas.openxmlformats.org/officeDocument/2006/relationships/image" Target="../media/image283.png"/><Relationship Id="rId79" Type="http://schemas.openxmlformats.org/officeDocument/2006/relationships/image" Target="../media/image182.png"/><Relationship Id="rId102" Type="http://schemas.openxmlformats.org/officeDocument/2006/relationships/image" Target="../media/image202.png"/><Relationship Id="rId123" Type="http://schemas.openxmlformats.org/officeDocument/2006/relationships/image" Target="../media/image195.png"/><Relationship Id="rId144" Type="http://schemas.openxmlformats.org/officeDocument/2006/relationships/image" Target="../media/image238.png"/><Relationship Id="rId90" Type="http://schemas.openxmlformats.org/officeDocument/2006/relationships/image" Target="../media/image312.png"/><Relationship Id="rId27" Type="http://schemas.openxmlformats.org/officeDocument/2006/relationships/image" Target="../media/image301.png"/><Relationship Id="rId48" Type="http://schemas.openxmlformats.org/officeDocument/2006/relationships/image" Target="../media/image296.png"/><Relationship Id="rId69" Type="http://schemas.openxmlformats.org/officeDocument/2006/relationships/image" Target="../media/image273.png"/><Relationship Id="rId113" Type="http://schemas.openxmlformats.org/officeDocument/2006/relationships/image" Target="../media/image224.png"/><Relationship Id="rId134" Type="http://schemas.openxmlformats.org/officeDocument/2006/relationships/image" Target="../media/image227.png"/><Relationship Id="rId80" Type="http://schemas.openxmlformats.org/officeDocument/2006/relationships/image" Target="../media/image276.png"/><Relationship Id="rId155" Type="http://schemas.openxmlformats.org/officeDocument/2006/relationships/image" Target="../media/image24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76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81.emf"/><Relationship Id="rId5" Type="http://schemas.openxmlformats.org/officeDocument/2006/relationships/image" Target="../media/image178.emf"/><Relationship Id="rId10" Type="http://schemas.openxmlformats.org/officeDocument/2006/relationships/image" Target="../media/image180.emf"/><Relationship Id="rId4" Type="http://schemas.openxmlformats.org/officeDocument/2006/relationships/image" Target="../media/image177.emf"/><Relationship Id="rId9" Type="http://schemas.openxmlformats.org/officeDocument/2006/relationships/image" Target="../media/image17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78921</xdr:colOff>
      <xdr:row>2</xdr:row>
      <xdr:rowOff>293915</xdr:rowOff>
    </xdr:from>
    <xdr:to>
      <xdr:col>7</xdr:col>
      <xdr:colOff>762000</xdr:colOff>
      <xdr:row>3</xdr:row>
      <xdr:rowOff>1048839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1295400</xdr:rowOff>
        </xdr:from>
        <xdr:to>
          <xdr:col>5</xdr:col>
          <xdr:colOff>628650</xdr:colOff>
          <xdr:row>3</xdr:row>
          <xdr:rowOff>1962150</xdr:rowOff>
        </xdr:to>
        <xdr:sp macro="" textlink="">
          <xdr:nvSpPr>
            <xdr:cNvPr id="27649" name="Go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</xdr:row>
          <xdr:rowOff>57150</xdr:rowOff>
        </xdr:from>
        <xdr:to>
          <xdr:col>1</xdr:col>
          <xdr:colOff>819150</xdr:colOff>
          <xdr:row>3</xdr:row>
          <xdr:rowOff>57150</xdr:rowOff>
        </xdr:to>
        <xdr:sp macro="" textlink="">
          <xdr:nvSpPr>
            <xdr:cNvPr id="27650" name="Hasty_A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66675</xdr:rowOff>
        </xdr:from>
        <xdr:to>
          <xdr:col>1</xdr:col>
          <xdr:colOff>819150</xdr:colOff>
          <xdr:row>3</xdr:row>
          <xdr:rowOff>371475</xdr:rowOff>
        </xdr:to>
        <xdr:sp macro="" textlink="">
          <xdr:nvSpPr>
            <xdr:cNvPr id="27651" name="Hasty_D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2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400050</xdr:rowOff>
        </xdr:from>
        <xdr:to>
          <xdr:col>1</xdr:col>
          <xdr:colOff>819150</xdr:colOff>
          <xdr:row>3</xdr:row>
          <xdr:rowOff>914400</xdr:rowOff>
        </xdr:to>
        <xdr:sp macro="" textlink="">
          <xdr:nvSpPr>
            <xdr:cNvPr id="27652" name="Delib_A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2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933450</xdr:rowOff>
        </xdr:from>
        <xdr:to>
          <xdr:col>1</xdr:col>
          <xdr:colOff>819150</xdr:colOff>
          <xdr:row>3</xdr:row>
          <xdr:rowOff>1438275</xdr:rowOff>
        </xdr:to>
        <xdr:sp macro="" textlink="">
          <xdr:nvSpPr>
            <xdr:cNvPr id="27653" name="Delib_D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2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1466850</xdr:rowOff>
        </xdr:from>
        <xdr:to>
          <xdr:col>1</xdr:col>
          <xdr:colOff>819150</xdr:colOff>
          <xdr:row>3</xdr:row>
          <xdr:rowOff>1971675</xdr:rowOff>
        </xdr:to>
        <xdr:sp macro="" textlink="">
          <xdr:nvSpPr>
            <xdr:cNvPr id="27654" name="Meeti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2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</xdr:row>
          <xdr:rowOff>28575</xdr:rowOff>
        </xdr:from>
        <xdr:to>
          <xdr:col>10</xdr:col>
          <xdr:colOff>171450</xdr:colOff>
          <xdr:row>3</xdr:row>
          <xdr:rowOff>57150</xdr:rowOff>
        </xdr:to>
        <xdr:sp macro="" textlink="">
          <xdr:nvSpPr>
            <xdr:cNvPr id="27655" name="Hasty_AE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2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</xdr:row>
          <xdr:rowOff>114300</xdr:rowOff>
        </xdr:from>
        <xdr:to>
          <xdr:col>10</xdr:col>
          <xdr:colOff>180975</xdr:colOff>
          <xdr:row>3</xdr:row>
          <xdr:rowOff>447675</xdr:rowOff>
        </xdr:to>
        <xdr:sp macro="" textlink="">
          <xdr:nvSpPr>
            <xdr:cNvPr id="27656" name="Hasty_DE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2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</xdr:row>
          <xdr:rowOff>504825</xdr:rowOff>
        </xdr:from>
        <xdr:to>
          <xdr:col>10</xdr:col>
          <xdr:colOff>200025</xdr:colOff>
          <xdr:row>3</xdr:row>
          <xdr:rowOff>962025</xdr:rowOff>
        </xdr:to>
        <xdr:sp macro="" textlink="">
          <xdr:nvSpPr>
            <xdr:cNvPr id="27657" name="Delib_AE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2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</xdr:row>
          <xdr:rowOff>1009650</xdr:rowOff>
        </xdr:from>
        <xdr:to>
          <xdr:col>10</xdr:col>
          <xdr:colOff>190500</xdr:colOff>
          <xdr:row>3</xdr:row>
          <xdr:rowOff>1457325</xdr:rowOff>
        </xdr:to>
        <xdr:sp macro="" textlink="">
          <xdr:nvSpPr>
            <xdr:cNvPr id="27658" name="Delib_DE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2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</xdr:row>
          <xdr:rowOff>1514475</xdr:rowOff>
        </xdr:from>
        <xdr:to>
          <xdr:col>10</xdr:col>
          <xdr:colOff>190500</xdr:colOff>
          <xdr:row>3</xdr:row>
          <xdr:rowOff>1971675</xdr:rowOff>
        </xdr:to>
        <xdr:sp macro="" textlink="">
          <xdr:nvSpPr>
            <xdr:cNvPr id="27659" name="Meeting_E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2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3</xdr:col>
      <xdr:colOff>54429</xdr:colOff>
      <xdr:row>3</xdr:row>
      <xdr:rowOff>1156608</xdr:rowOff>
    </xdr:from>
    <xdr:ext cx="1152071" cy="530658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 txBox="1"/>
      </xdr:nvSpPr>
      <xdr:spPr>
        <a:xfrm>
          <a:off x="6071054" y="1728108"/>
          <a:ext cx="11520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 b="1"/>
            <a:t>Friendly</a:t>
          </a:r>
        </a:p>
        <a:p>
          <a:pPr algn="ctr"/>
          <a:r>
            <a:rPr lang="en-US" sz="1400" b="1"/>
            <a:t>LOSSES</a:t>
          </a:r>
        </a:p>
      </xdr:txBody>
    </xdr:sp>
    <xdr:clientData/>
  </xdr:oneCellAnchor>
  <xdr:oneCellAnchor>
    <xdr:from>
      <xdr:col>7</xdr:col>
      <xdr:colOff>61515</xdr:colOff>
      <xdr:row>3</xdr:row>
      <xdr:rowOff>1172936</xdr:rowOff>
    </xdr:from>
    <xdr:ext cx="724109" cy="530658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 txBox="1"/>
      </xdr:nvSpPr>
      <xdr:spPr>
        <a:xfrm>
          <a:off x="13987065" y="1744436"/>
          <a:ext cx="724109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Enemy</a:t>
          </a:r>
        </a:p>
        <a:p>
          <a:pPr algn="ctr"/>
          <a:r>
            <a:rPr lang="en-US" sz="1400" b="1"/>
            <a:t>LOSSES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17</xdr:row>
          <xdr:rowOff>57150</xdr:rowOff>
        </xdr:from>
        <xdr:to>
          <xdr:col>6</xdr:col>
          <xdr:colOff>200025</xdr:colOff>
          <xdr:row>20</xdr:row>
          <xdr:rowOff>133350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2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EA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23</xdr:row>
      <xdr:rowOff>0</xdr:rowOff>
    </xdr:from>
    <xdr:to>
      <xdr:col>7</xdr:col>
      <xdr:colOff>542591</xdr:colOff>
      <xdr:row>23</xdr:row>
      <xdr:rowOff>573074</xdr:rowOff>
    </xdr:to>
    <xdr:pic>
      <xdr:nvPicPr>
        <xdr:cNvPr id="31812" name="Picture 31811" descr="7" title="CAS Sortie Equivalent">
          <a:extLst>
            <a:ext uri="{FF2B5EF4-FFF2-40B4-BE49-F238E27FC236}">
              <a16:creationId xmlns:a16="http://schemas.microsoft.com/office/drawing/2014/main" id="{00000000-0008-0000-0200-00004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67750" y="6731000"/>
          <a:ext cx="542591" cy="57307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542591</xdr:colOff>
      <xdr:row>24</xdr:row>
      <xdr:rowOff>560881</xdr:rowOff>
    </xdr:to>
    <xdr:pic>
      <xdr:nvPicPr>
        <xdr:cNvPr id="31813" name="Picture 31812" descr="14" title="CAS Sortie x2">
          <a:extLst>
            <a:ext uri="{FF2B5EF4-FFF2-40B4-BE49-F238E27FC236}">
              <a16:creationId xmlns:a16="http://schemas.microsoft.com/office/drawing/2014/main" id="{00000000-0008-0000-0200-00004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67750" y="7366000"/>
          <a:ext cx="542591" cy="56088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542591</xdr:colOff>
      <xdr:row>25</xdr:row>
      <xdr:rowOff>573074</xdr:rowOff>
    </xdr:to>
    <xdr:pic>
      <xdr:nvPicPr>
        <xdr:cNvPr id="31814" name="Picture 31813" descr="35" title="CAS Sortie x5">
          <a:extLst>
            <a:ext uri="{FF2B5EF4-FFF2-40B4-BE49-F238E27FC236}">
              <a16:creationId xmlns:a16="http://schemas.microsoft.com/office/drawing/2014/main" id="{00000000-0008-0000-0200-00004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67750" y="7985125"/>
          <a:ext cx="542591" cy="57307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542591</xdr:colOff>
      <xdr:row>26</xdr:row>
      <xdr:rowOff>566977</xdr:rowOff>
    </xdr:to>
    <xdr:pic>
      <xdr:nvPicPr>
        <xdr:cNvPr id="31815" name="Picture 31814" descr="70" title="CAS Sortie x10">
          <a:extLst>
            <a:ext uri="{FF2B5EF4-FFF2-40B4-BE49-F238E27FC236}">
              <a16:creationId xmlns:a16="http://schemas.microsoft.com/office/drawing/2014/main" id="{00000000-0008-0000-0200-00004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667750" y="8620125"/>
          <a:ext cx="542591" cy="56697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542591</xdr:colOff>
      <xdr:row>27</xdr:row>
      <xdr:rowOff>847417</xdr:rowOff>
    </xdr:to>
    <xdr:pic>
      <xdr:nvPicPr>
        <xdr:cNvPr id="31816" name="Picture 31815" descr="9.98" title="AVN Bn (Mi-24D/E)">
          <a:extLst>
            <a:ext uri="{FF2B5EF4-FFF2-40B4-BE49-F238E27FC236}">
              <a16:creationId xmlns:a16="http://schemas.microsoft.com/office/drawing/2014/main" id="{00000000-0008-0000-0200-00004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67750" y="9239250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542591</xdr:colOff>
      <xdr:row>28</xdr:row>
      <xdr:rowOff>883997</xdr:rowOff>
    </xdr:to>
    <xdr:pic>
      <xdr:nvPicPr>
        <xdr:cNvPr id="31817" name="Picture 31816" descr="3.32" title="AVN Co (Mi-24D/E)">
          <a:extLst>
            <a:ext uri="{FF2B5EF4-FFF2-40B4-BE49-F238E27FC236}">
              <a16:creationId xmlns:a16="http://schemas.microsoft.com/office/drawing/2014/main" id="{00000000-0008-0000-0200-00004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667750" y="10175875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542591</xdr:colOff>
      <xdr:row>29</xdr:row>
      <xdr:rowOff>853514</xdr:rowOff>
    </xdr:to>
    <xdr:pic>
      <xdr:nvPicPr>
        <xdr:cNvPr id="31818" name="Picture 31817" descr="15.42" title="AVN Bn (Mi-28)">
          <a:extLst>
            <a:ext uri="{FF2B5EF4-FFF2-40B4-BE49-F238E27FC236}">
              <a16:creationId xmlns:a16="http://schemas.microsoft.com/office/drawing/2014/main" id="{00000000-0008-0000-0200-00004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67750" y="11144250"/>
          <a:ext cx="542591" cy="8535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542591</xdr:colOff>
      <xdr:row>30</xdr:row>
      <xdr:rowOff>877900</xdr:rowOff>
    </xdr:to>
    <xdr:pic>
      <xdr:nvPicPr>
        <xdr:cNvPr id="31819" name="Picture 31818" descr="5.14" title="AVN Co (Mi-28)">
          <a:extLst>
            <a:ext uri="{FF2B5EF4-FFF2-40B4-BE49-F238E27FC236}">
              <a16:creationId xmlns:a16="http://schemas.microsoft.com/office/drawing/2014/main" id="{00000000-0008-0000-0200-00004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67750" y="12080875"/>
          <a:ext cx="542591" cy="877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542591</xdr:colOff>
      <xdr:row>31</xdr:row>
      <xdr:rowOff>847417</xdr:rowOff>
    </xdr:to>
    <xdr:pic>
      <xdr:nvPicPr>
        <xdr:cNvPr id="31820" name="Picture 31819" descr="10.08" title="AVN Bn (Ka-50)">
          <a:extLst>
            <a:ext uri="{FF2B5EF4-FFF2-40B4-BE49-F238E27FC236}">
              <a16:creationId xmlns:a16="http://schemas.microsoft.com/office/drawing/2014/main" id="{00000000-0008-0000-0200-00004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67750" y="13049250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542591</xdr:colOff>
      <xdr:row>32</xdr:row>
      <xdr:rowOff>865707</xdr:rowOff>
    </xdr:to>
    <xdr:pic>
      <xdr:nvPicPr>
        <xdr:cNvPr id="31821" name="Picture 31820" descr="3.36" title="AVN Co (Ka-50)">
          <a:extLst>
            <a:ext uri="{FF2B5EF4-FFF2-40B4-BE49-F238E27FC236}">
              <a16:creationId xmlns:a16="http://schemas.microsoft.com/office/drawing/2014/main" id="{00000000-0008-0000-0200-00004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667750" y="13985875"/>
          <a:ext cx="542591" cy="86570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542591</xdr:colOff>
      <xdr:row>33</xdr:row>
      <xdr:rowOff>664522</xdr:rowOff>
    </xdr:to>
    <xdr:pic>
      <xdr:nvPicPr>
        <xdr:cNvPr id="31822" name="Picture 31821" descr="30.52" title="Recon Bn (Mech Division)">
          <a:extLst>
            <a:ext uri="{FF2B5EF4-FFF2-40B4-BE49-F238E27FC236}">
              <a16:creationId xmlns:a16="http://schemas.microsoft.com/office/drawing/2014/main" id="{00000000-0008-0000-0200-00004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14938375"/>
          <a:ext cx="542591" cy="6645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</xdr:row>
      <xdr:rowOff>0</xdr:rowOff>
    </xdr:from>
    <xdr:to>
      <xdr:col>7</xdr:col>
      <xdr:colOff>542591</xdr:colOff>
      <xdr:row>34</xdr:row>
      <xdr:rowOff>652329</xdr:rowOff>
    </xdr:to>
    <xdr:pic>
      <xdr:nvPicPr>
        <xdr:cNvPr id="31823" name="Picture 31822" descr="34.38" title="EN Bn (Mech Division)">
          <a:extLst>
            <a:ext uri="{FF2B5EF4-FFF2-40B4-BE49-F238E27FC236}">
              <a16:creationId xmlns:a16="http://schemas.microsoft.com/office/drawing/2014/main" id="{00000000-0008-0000-0200-00004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67750" y="15668625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7</xdr:col>
      <xdr:colOff>542591</xdr:colOff>
      <xdr:row>35</xdr:row>
      <xdr:rowOff>902286</xdr:rowOff>
    </xdr:to>
    <xdr:pic>
      <xdr:nvPicPr>
        <xdr:cNvPr id="31824" name="Picture 31823" descr="21.88" title="FA Bn (2S1)">
          <a:extLst>
            <a:ext uri="{FF2B5EF4-FFF2-40B4-BE49-F238E27FC236}">
              <a16:creationId xmlns:a16="http://schemas.microsoft.com/office/drawing/2014/main" id="{00000000-0008-0000-0200-00005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667750" y="1638300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542591</xdr:colOff>
      <xdr:row>36</xdr:row>
      <xdr:rowOff>883997</xdr:rowOff>
    </xdr:to>
    <xdr:pic>
      <xdr:nvPicPr>
        <xdr:cNvPr id="31825" name="Picture 31824" descr="4.41" title="FA Btry (2S1)">
          <a:extLst>
            <a:ext uri="{FF2B5EF4-FFF2-40B4-BE49-F238E27FC236}">
              <a16:creationId xmlns:a16="http://schemas.microsoft.com/office/drawing/2014/main" id="{00000000-0008-0000-0200-00005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667750" y="17383125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542591</xdr:colOff>
      <xdr:row>37</xdr:row>
      <xdr:rowOff>902286</xdr:rowOff>
    </xdr:to>
    <xdr:pic>
      <xdr:nvPicPr>
        <xdr:cNvPr id="31826" name="Picture 31825" descr="21.34" title="FA Bn (2S5)">
          <a:extLst>
            <a:ext uri="{FF2B5EF4-FFF2-40B4-BE49-F238E27FC236}">
              <a16:creationId xmlns:a16="http://schemas.microsoft.com/office/drawing/2014/main" id="{00000000-0008-0000-0200-00005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667750" y="1835150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542591</xdr:colOff>
      <xdr:row>38</xdr:row>
      <xdr:rowOff>883997</xdr:rowOff>
    </xdr:to>
    <xdr:pic>
      <xdr:nvPicPr>
        <xdr:cNvPr id="31827" name="Picture 31826" descr="4.23" title="FA Btry (2S5)">
          <a:extLst>
            <a:ext uri="{FF2B5EF4-FFF2-40B4-BE49-F238E27FC236}">
              <a16:creationId xmlns:a16="http://schemas.microsoft.com/office/drawing/2014/main" id="{00000000-0008-0000-0200-00005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667750" y="19351625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</xdr:row>
      <xdr:rowOff>0</xdr:rowOff>
    </xdr:from>
    <xdr:to>
      <xdr:col>7</xdr:col>
      <xdr:colOff>542591</xdr:colOff>
      <xdr:row>39</xdr:row>
      <xdr:rowOff>835224</xdr:rowOff>
    </xdr:to>
    <xdr:pic>
      <xdr:nvPicPr>
        <xdr:cNvPr id="31828" name="Picture 31827" descr="2.7" title="FA Btry (9P140/URAGAN/BM-27)">
          <a:extLst>
            <a:ext uri="{FF2B5EF4-FFF2-40B4-BE49-F238E27FC236}">
              <a16:creationId xmlns:a16="http://schemas.microsoft.com/office/drawing/2014/main" id="{00000000-0008-0000-0200-00005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667750" y="20320000"/>
          <a:ext cx="542591" cy="83522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542591</xdr:colOff>
      <xdr:row>40</xdr:row>
      <xdr:rowOff>847417</xdr:rowOff>
    </xdr:to>
    <xdr:pic>
      <xdr:nvPicPr>
        <xdr:cNvPr id="31829" name="Picture 31828" descr="16.92" title="FA Bn (9P140/URAGAN/BM-27)">
          <a:extLst>
            <a:ext uri="{FF2B5EF4-FFF2-40B4-BE49-F238E27FC236}">
              <a16:creationId xmlns:a16="http://schemas.microsoft.com/office/drawing/2014/main" id="{00000000-0008-0000-0200-00005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667750" y="21240750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41</xdr:row>
      <xdr:rowOff>0</xdr:rowOff>
    </xdr:from>
    <xdr:to>
      <xdr:col>7</xdr:col>
      <xdr:colOff>536494</xdr:colOff>
      <xdr:row>41</xdr:row>
      <xdr:rowOff>816935</xdr:rowOff>
    </xdr:to>
    <xdr:pic>
      <xdr:nvPicPr>
        <xdr:cNvPr id="31830" name="Picture 31829" descr="3.15" title="FA Btry (9A52-2/SMERCH-M/BM-30)">
          <a:extLst>
            <a:ext uri="{FF2B5EF4-FFF2-40B4-BE49-F238E27FC236}">
              <a16:creationId xmlns:a16="http://schemas.microsoft.com/office/drawing/2014/main" id="{00000000-0008-0000-0200-00005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667750" y="22161500"/>
          <a:ext cx="536494" cy="8169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42</xdr:row>
      <xdr:rowOff>0</xdr:rowOff>
    </xdr:from>
    <xdr:to>
      <xdr:col>7</xdr:col>
      <xdr:colOff>536494</xdr:colOff>
      <xdr:row>42</xdr:row>
      <xdr:rowOff>829128</xdr:rowOff>
    </xdr:to>
    <xdr:pic>
      <xdr:nvPicPr>
        <xdr:cNvPr id="31831" name="Picture 31830" descr="18.29" title="FA Bn (9A52-2/SMERCH-M/BM-30)">
          <a:extLst>
            <a:ext uri="{FF2B5EF4-FFF2-40B4-BE49-F238E27FC236}">
              <a16:creationId xmlns:a16="http://schemas.microsoft.com/office/drawing/2014/main" id="{00000000-0008-0000-0200-00005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667750" y="23050500"/>
          <a:ext cx="536494" cy="82912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536494</xdr:colOff>
      <xdr:row>43</xdr:row>
      <xdr:rowOff>804742</xdr:rowOff>
    </xdr:to>
    <xdr:pic>
      <xdr:nvPicPr>
        <xdr:cNvPr id="31832" name="Picture 31831" descr="3" title="FA Btry (WM-80)">
          <a:extLst>
            <a:ext uri="{FF2B5EF4-FFF2-40B4-BE49-F238E27FC236}">
              <a16:creationId xmlns:a16="http://schemas.microsoft.com/office/drawing/2014/main" id="{00000000-0008-0000-0200-00005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667750" y="23971250"/>
          <a:ext cx="536494" cy="80474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536494</xdr:colOff>
      <xdr:row>44</xdr:row>
      <xdr:rowOff>823031</xdr:rowOff>
    </xdr:to>
    <xdr:pic>
      <xdr:nvPicPr>
        <xdr:cNvPr id="31833" name="Picture 31832" descr="17.95" title="FA Bn (WM-80)">
          <a:extLst>
            <a:ext uri="{FF2B5EF4-FFF2-40B4-BE49-F238E27FC236}">
              <a16:creationId xmlns:a16="http://schemas.microsoft.com/office/drawing/2014/main" id="{00000000-0008-0000-0200-00005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667750" y="24860250"/>
          <a:ext cx="536494" cy="82303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45</xdr:row>
      <xdr:rowOff>0</xdr:rowOff>
    </xdr:from>
    <xdr:to>
      <xdr:col>7</xdr:col>
      <xdr:colOff>536494</xdr:colOff>
      <xdr:row>45</xdr:row>
      <xdr:rowOff>816935</xdr:rowOff>
    </xdr:to>
    <xdr:pic>
      <xdr:nvPicPr>
        <xdr:cNvPr id="31834" name="Picture 31833" descr="2.82" title="FA Btry (Fajr-3)">
          <a:extLst>
            <a:ext uri="{FF2B5EF4-FFF2-40B4-BE49-F238E27FC236}">
              <a16:creationId xmlns:a16="http://schemas.microsoft.com/office/drawing/2014/main" id="{00000000-0008-0000-0200-00005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667750" y="25765125"/>
          <a:ext cx="536494" cy="8169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46</xdr:row>
      <xdr:rowOff>0</xdr:rowOff>
    </xdr:from>
    <xdr:to>
      <xdr:col>7</xdr:col>
      <xdr:colOff>542591</xdr:colOff>
      <xdr:row>46</xdr:row>
      <xdr:rowOff>829128</xdr:rowOff>
    </xdr:to>
    <xdr:pic>
      <xdr:nvPicPr>
        <xdr:cNvPr id="31835" name="Picture 31834" descr="18.03" title="FA Bn (Fajr-3)">
          <a:extLst>
            <a:ext uri="{FF2B5EF4-FFF2-40B4-BE49-F238E27FC236}">
              <a16:creationId xmlns:a16="http://schemas.microsoft.com/office/drawing/2014/main" id="{00000000-0008-0000-0200-00005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67750" y="26654125"/>
          <a:ext cx="542591" cy="82912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536494</xdr:colOff>
      <xdr:row>47</xdr:row>
      <xdr:rowOff>902286</xdr:rowOff>
    </xdr:to>
    <xdr:pic>
      <xdr:nvPicPr>
        <xdr:cNvPr id="31836" name="Picture 31835" descr="20.25" title="FA Bn (2S3)">
          <a:extLst>
            <a:ext uri="{FF2B5EF4-FFF2-40B4-BE49-F238E27FC236}">
              <a16:creationId xmlns:a16="http://schemas.microsoft.com/office/drawing/2014/main" id="{00000000-0008-0000-0200-00005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67750" y="27574875"/>
          <a:ext cx="536494" cy="902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542591</xdr:colOff>
      <xdr:row>48</xdr:row>
      <xdr:rowOff>883997</xdr:rowOff>
    </xdr:to>
    <xdr:pic>
      <xdr:nvPicPr>
        <xdr:cNvPr id="31837" name="Picture 31836" descr="3.83" title="FA Btry (2S3)">
          <a:extLst>
            <a:ext uri="{FF2B5EF4-FFF2-40B4-BE49-F238E27FC236}">
              <a16:creationId xmlns:a16="http://schemas.microsoft.com/office/drawing/2014/main" id="{00000000-0008-0000-0200-00005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67750" y="2857500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49</xdr:row>
      <xdr:rowOff>0</xdr:rowOff>
    </xdr:from>
    <xdr:to>
      <xdr:col>7</xdr:col>
      <xdr:colOff>542591</xdr:colOff>
      <xdr:row>49</xdr:row>
      <xdr:rowOff>646232</xdr:rowOff>
    </xdr:to>
    <xdr:pic>
      <xdr:nvPicPr>
        <xdr:cNvPr id="31838" name="Picture 31837" descr="29.71" title="AT Bn (Mech)">
          <a:extLst>
            <a:ext uri="{FF2B5EF4-FFF2-40B4-BE49-F238E27FC236}">
              <a16:creationId xmlns:a16="http://schemas.microsoft.com/office/drawing/2014/main" id="{00000000-0008-0000-0200-00005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67750" y="29543375"/>
          <a:ext cx="542591" cy="6462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50</xdr:row>
      <xdr:rowOff>0</xdr:rowOff>
    </xdr:from>
    <xdr:to>
      <xdr:col>7</xdr:col>
      <xdr:colOff>536494</xdr:colOff>
      <xdr:row>50</xdr:row>
      <xdr:rowOff>841321</xdr:rowOff>
    </xdr:to>
    <xdr:pic>
      <xdr:nvPicPr>
        <xdr:cNvPr id="31839" name="Picture 31838" descr="6.6" title="AT Btry MT-12R">
          <a:extLst>
            <a:ext uri="{FF2B5EF4-FFF2-40B4-BE49-F238E27FC236}">
              <a16:creationId xmlns:a16="http://schemas.microsoft.com/office/drawing/2014/main" id="{00000000-0008-0000-0200-00005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667750" y="30241875"/>
          <a:ext cx="536494" cy="84132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542591</xdr:colOff>
      <xdr:row>51</xdr:row>
      <xdr:rowOff>944962</xdr:rowOff>
    </xdr:to>
    <xdr:pic>
      <xdr:nvPicPr>
        <xdr:cNvPr id="31840" name="Picture 31839" descr="4.29" title="AT Btry (AMX-10 HOT 3)">
          <a:extLst>
            <a:ext uri="{FF2B5EF4-FFF2-40B4-BE49-F238E27FC236}">
              <a16:creationId xmlns:a16="http://schemas.microsoft.com/office/drawing/2014/main" id="{00000000-0008-0000-0200-00006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667750" y="31162625"/>
          <a:ext cx="542591" cy="9449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542591</xdr:colOff>
      <xdr:row>52</xdr:row>
      <xdr:rowOff>640135</xdr:rowOff>
    </xdr:to>
    <xdr:pic>
      <xdr:nvPicPr>
        <xdr:cNvPr id="31841" name="Picture 31840" descr="15.49" title="AT Bn (Mtr)">
          <a:extLst>
            <a:ext uri="{FF2B5EF4-FFF2-40B4-BE49-F238E27FC236}">
              <a16:creationId xmlns:a16="http://schemas.microsoft.com/office/drawing/2014/main" id="{00000000-0008-0000-0200-00006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667750" y="32194500"/>
          <a:ext cx="542591" cy="6401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542591</xdr:colOff>
      <xdr:row>53</xdr:row>
      <xdr:rowOff>634039</xdr:rowOff>
    </xdr:to>
    <xdr:pic>
      <xdr:nvPicPr>
        <xdr:cNvPr id="31842" name="Picture 31841" descr="1.88" title="ADA Btry (SP AA Gun)">
          <a:extLst>
            <a:ext uri="{FF2B5EF4-FFF2-40B4-BE49-F238E27FC236}">
              <a16:creationId xmlns:a16="http://schemas.microsoft.com/office/drawing/2014/main" id="{00000000-0008-0000-0200-00006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667750" y="32893000"/>
          <a:ext cx="542591" cy="6340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7</xdr:col>
      <xdr:colOff>542591</xdr:colOff>
      <xdr:row>54</xdr:row>
      <xdr:rowOff>859611</xdr:rowOff>
    </xdr:to>
    <xdr:pic>
      <xdr:nvPicPr>
        <xdr:cNvPr id="31843" name="Picture 31842" descr="3.43" title="ADA Btry (SA-15)">
          <a:extLst>
            <a:ext uri="{FF2B5EF4-FFF2-40B4-BE49-F238E27FC236}">
              <a16:creationId xmlns:a16="http://schemas.microsoft.com/office/drawing/2014/main" id="{00000000-0008-0000-0200-00006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667750" y="33591500"/>
          <a:ext cx="542591" cy="85961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536494</xdr:colOff>
      <xdr:row>55</xdr:row>
      <xdr:rowOff>853514</xdr:rowOff>
    </xdr:to>
    <xdr:pic>
      <xdr:nvPicPr>
        <xdr:cNvPr id="31844" name="Picture 31843" descr="6.14" title="ADA Btry (SA-18)">
          <a:extLst>
            <a:ext uri="{FF2B5EF4-FFF2-40B4-BE49-F238E27FC236}">
              <a16:creationId xmlns:a16="http://schemas.microsoft.com/office/drawing/2014/main" id="{00000000-0008-0000-0200-00006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667750" y="34544000"/>
          <a:ext cx="536494" cy="8535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536494</xdr:colOff>
      <xdr:row>56</xdr:row>
      <xdr:rowOff>627942</xdr:rowOff>
    </xdr:to>
    <xdr:pic>
      <xdr:nvPicPr>
        <xdr:cNvPr id="31845" name="Picture 31844" descr="21.28" title="ADA Bn (Mtr)">
          <a:extLst>
            <a:ext uri="{FF2B5EF4-FFF2-40B4-BE49-F238E27FC236}">
              <a16:creationId xmlns:a16="http://schemas.microsoft.com/office/drawing/2014/main" id="{00000000-0008-0000-0200-00006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667750" y="35480625"/>
          <a:ext cx="536494" cy="62794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57</xdr:row>
      <xdr:rowOff>0</xdr:rowOff>
    </xdr:from>
    <xdr:to>
      <xdr:col>7</xdr:col>
      <xdr:colOff>542591</xdr:colOff>
      <xdr:row>57</xdr:row>
      <xdr:rowOff>792549</xdr:rowOff>
    </xdr:to>
    <xdr:pic>
      <xdr:nvPicPr>
        <xdr:cNvPr id="31846" name="Picture 31845" descr="2.2" title="ADA Btry (Skyguard)">
          <a:extLst>
            <a:ext uri="{FF2B5EF4-FFF2-40B4-BE49-F238E27FC236}">
              <a16:creationId xmlns:a16="http://schemas.microsoft.com/office/drawing/2014/main" id="{00000000-0008-0000-0200-00006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667750" y="36163250"/>
          <a:ext cx="542591" cy="79254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542591</xdr:colOff>
      <xdr:row>58</xdr:row>
      <xdr:rowOff>658425</xdr:rowOff>
    </xdr:to>
    <xdr:pic>
      <xdr:nvPicPr>
        <xdr:cNvPr id="31847" name="Picture 31846" descr="15.98" title="Guerilla Bn">
          <a:extLst>
            <a:ext uri="{FF2B5EF4-FFF2-40B4-BE49-F238E27FC236}">
              <a16:creationId xmlns:a16="http://schemas.microsoft.com/office/drawing/2014/main" id="{00000000-0008-0000-0200-00006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667750" y="37036375"/>
          <a:ext cx="542591" cy="6584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59</xdr:row>
      <xdr:rowOff>0</xdr:rowOff>
    </xdr:from>
    <xdr:to>
      <xdr:col>7</xdr:col>
      <xdr:colOff>542591</xdr:colOff>
      <xdr:row>59</xdr:row>
      <xdr:rowOff>652329</xdr:rowOff>
    </xdr:to>
    <xdr:pic>
      <xdr:nvPicPr>
        <xdr:cNvPr id="31848" name="Picture 31847" descr="8.35" title="Guerilla Wpns Bn">
          <a:extLst>
            <a:ext uri="{FF2B5EF4-FFF2-40B4-BE49-F238E27FC236}">
              <a16:creationId xmlns:a16="http://schemas.microsoft.com/office/drawing/2014/main" id="{00000000-0008-0000-0200-00006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667750" y="37766625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542591</xdr:colOff>
      <xdr:row>60</xdr:row>
      <xdr:rowOff>658425</xdr:rowOff>
    </xdr:to>
    <xdr:pic>
      <xdr:nvPicPr>
        <xdr:cNvPr id="31849" name="Picture 31848" descr="3.94" title="Recon Co">
          <a:extLst>
            <a:ext uri="{FF2B5EF4-FFF2-40B4-BE49-F238E27FC236}">
              <a16:creationId xmlns:a16="http://schemas.microsoft.com/office/drawing/2014/main" id="{00000000-0008-0000-0200-00006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667750" y="38481000"/>
          <a:ext cx="542591" cy="6584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542591</xdr:colOff>
      <xdr:row>61</xdr:row>
      <xdr:rowOff>652329</xdr:rowOff>
    </xdr:to>
    <xdr:pic>
      <xdr:nvPicPr>
        <xdr:cNvPr id="31850" name="Picture 31849" descr="2.77" title="Guerilla Co">
          <a:extLst>
            <a:ext uri="{FF2B5EF4-FFF2-40B4-BE49-F238E27FC236}">
              <a16:creationId xmlns:a16="http://schemas.microsoft.com/office/drawing/2014/main" id="{00000000-0008-0000-0200-00006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667750" y="39211250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542591</xdr:colOff>
      <xdr:row>62</xdr:row>
      <xdr:rowOff>652329</xdr:rowOff>
    </xdr:to>
    <xdr:pic>
      <xdr:nvPicPr>
        <xdr:cNvPr id="31851" name="Picture 31850" descr="4.19" title="Weapons Co">
          <a:extLst>
            <a:ext uri="{FF2B5EF4-FFF2-40B4-BE49-F238E27FC236}">
              <a16:creationId xmlns:a16="http://schemas.microsoft.com/office/drawing/2014/main" id="{00000000-0008-0000-0200-00006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667750" y="39925625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7</xdr:col>
      <xdr:colOff>542591</xdr:colOff>
      <xdr:row>63</xdr:row>
      <xdr:rowOff>695004</xdr:rowOff>
    </xdr:to>
    <xdr:pic>
      <xdr:nvPicPr>
        <xdr:cNvPr id="31852" name="Picture 31851" descr="1.33" title="Guerilla Mortar Btry">
          <a:extLst>
            <a:ext uri="{FF2B5EF4-FFF2-40B4-BE49-F238E27FC236}">
              <a16:creationId xmlns:a16="http://schemas.microsoft.com/office/drawing/2014/main" id="{00000000-0008-0000-0200-00006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667750" y="40640000"/>
          <a:ext cx="542591" cy="69500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536494</xdr:colOff>
      <xdr:row>64</xdr:row>
      <xdr:rowOff>664522</xdr:rowOff>
    </xdr:to>
    <xdr:pic>
      <xdr:nvPicPr>
        <xdr:cNvPr id="31853" name="Picture 31852" descr="2.22" title="Guerilla RL Btry">
          <a:extLst>
            <a:ext uri="{FF2B5EF4-FFF2-40B4-BE49-F238E27FC236}">
              <a16:creationId xmlns:a16="http://schemas.microsoft.com/office/drawing/2014/main" id="{00000000-0008-0000-0200-00006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667750" y="41402000"/>
          <a:ext cx="536494" cy="6645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65</xdr:row>
      <xdr:rowOff>0</xdr:rowOff>
    </xdr:from>
    <xdr:to>
      <xdr:col>7</xdr:col>
      <xdr:colOff>542591</xdr:colOff>
      <xdr:row>65</xdr:row>
      <xdr:rowOff>652329</xdr:rowOff>
    </xdr:to>
    <xdr:pic>
      <xdr:nvPicPr>
        <xdr:cNvPr id="31854" name="Picture 31853" descr="3.49" title="Guerilla AT Btry">
          <a:extLst>
            <a:ext uri="{FF2B5EF4-FFF2-40B4-BE49-F238E27FC236}">
              <a16:creationId xmlns:a16="http://schemas.microsoft.com/office/drawing/2014/main" id="{00000000-0008-0000-0200-00006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667750" y="42132250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542591</xdr:colOff>
      <xdr:row>66</xdr:row>
      <xdr:rowOff>646232</xdr:rowOff>
    </xdr:to>
    <xdr:pic>
      <xdr:nvPicPr>
        <xdr:cNvPr id="31855" name="Picture 31854" descr="2.81" title="Sapper Co">
          <a:extLst>
            <a:ext uri="{FF2B5EF4-FFF2-40B4-BE49-F238E27FC236}">
              <a16:creationId xmlns:a16="http://schemas.microsoft.com/office/drawing/2014/main" id="{00000000-0008-0000-0200-00006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667750" y="42846625"/>
          <a:ext cx="542591" cy="6462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67</xdr:row>
      <xdr:rowOff>0</xdr:rowOff>
    </xdr:from>
    <xdr:to>
      <xdr:col>7</xdr:col>
      <xdr:colOff>536494</xdr:colOff>
      <xdr:row>67</xdr:row>
      <xdr:rowOff>719390</xdr:rowOff>
    </xdr:to>
    <xdr:pic>
      <xdr:nvPicPr>
        <xdr:cNvPr id="31856" name="Picture 31855" descr="30.3" title="Inf Bn (Light)">
          <a:extLst>
            <a:ext uri="{FF2B5EF4-FFF2-40B4-BE49-F238E27FC236}">
              <a16:creationId xmlns:a16="http://schemas.microsoft.com/office/drawing/2014/main" id="{00000000-0008-0000-0200-00007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667750" y="43545125"/>
          <a:ext cx="536494" cy="7193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542591</xdr:colOff>
      <xdr:row>68</xdr:row>
      <xdr:rowOff>725487</xdr:rowOff>
    </xdr:to>
    <xdr:pic>
      <xdr:nvPicPr>
        <xdr:cNvPr id="31857" name="Picture 31856" descr="4.47" title="Inf Co (Light)">
          <a:extLst>
            <a:ext uri="{FF2B5EF4-FFF2-40B4-BE49-F238E27FC236}">
              <a16:creationId xmlns:a16="http://schemas.microsoft.com/office/drawing/2014/main" id="{00000000-0008-0000-0200-00007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667750" y="44338875"/>
          <a:ext cx="542591" cy="72548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542591</xdr:colOff>
      <xdr:row>69</xdr:row>
      <xdr:rowOff>847417</xdr:rowOff>
    </xdr:to>
    <xdr:pic>
      <xdr:nvPicPr>
        <xdr:cNvPr id="31858" name="Picture 31857" descr="2.73" title="FA Btry (G6 Rhino)">
          <a:extLst>
            <a:ext uri="{FF2B5EF4-FFF2-40B4-BE49-F238E27FC236}">
              <a16:creationId xmlns:a16="http://schemas.microsoft.com/office/drawing/2014/main" id="{00000000-0008-0000-0200-00007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667750" y="45132625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7</xdr:col>
      <xdr:colOff>542591</xdr:colOff>
      <xdr:row>70</xdr:row>
      <xdr:rowOff>853514</xdr:rowOff>
    </xdr:to>
    <xdr:pic>
      <xdr:nvPicPr>
        <xdr:cNvPr id="31859" name="Picture 31858" descr="16.85" title="FA Bn (G6 Rhino)">
          <a:extLst>
            <a:ext uri="{FF2B5EF4-FFF2-40B4-BE49-F238E27FC236}">
              <a16:creationId xmlns:a16="http://schemas.microsoft.com/office/drawing/2014/main" id="{00000000-0008-0000-0200-00007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667750" y="46069250"/>
          <a:ext cx="542591" cy="8535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7</xdr:col>
      <xdr:colOff>542591</xdr:colOff>
      <xdr:row>71</xdr:row>
      <xdr:rowOff>957155</xdr:rowOff>
    </xdr:to>
    <xdr:pic>
      <xdr:nvPicPr>
        <xdr:cNvPr id="31860" name="Picture 31859" descr="28.79" title="Tank Bn (T-72B)">
          <a:extLst>
            <a:ext uri="{FF2B5EF4-FFF2-40B4-BE49-F238E27FC236}">
              <a16:creationId xmlns:a16="http://schemas.microsoft.com/office/drawing/2014/main" id="{00000000-0008-0000-0200-00007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8667750" y="47005875"/>
          <a:ext cx="542591" cy="95715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542591</xdr:colOff>
      <xdr:row>72</xdr:row>
      <xdr:rowOff>896190</xdr:rowOff>
    </xdr:to>
    <xdr:pic>
      <xdr:nvPicPr>
        <xdr:cNvPr id="31861" name="Picture 31860" descr="6.29" title="Tank Co (T-72B)">
          <a:extLst>
            <a:ext uri="{FF2B5EF4-FFF2-40B4-BE49-F238E27FC236}">
              <a16:creationId xmlns:a16="http://schemas.microsoft.com/office/drawing/2014/main" id="{00000000-0008-0000-0200-00007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8667750" y="4806950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542591</xdr:colOff>
      <xdr:row>73</xdr:row>
      <xdr:rowOff>896190</xdr:rowOff>
    </xdr:to>
    <xdr:pic>
      <xdr:nvPicPr>
        <xdr:cNvPr id="31862" name="Picture 31861" descr="16.03" title="En Co (Mtr)">
          <a:extLst>
            <a:ext uri="{FF2B5EF4-FFF2-40B4-BE49-F238E27FC236}">
              <a16:creationId xmlns:a16="http://schemas.microsoft.com/office/drawing/2014/main" id="{00000000-0008-0000-0200-00007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8667750" y="4905375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7</xdr:col>
      <xdr:colOff>542591</xdr:colOff>
      <xdr:row>74</xdr:row>
      <xdr:rowOff>896190</xdr:rowOff>
    </xdr:to>
    <xdr:pic>
      <xdr:nvPicPr>
        <xdr:cNvPr id="31863" name="Picture 31862" descr="9.83" title="Recon Co (Mtr)">
          <a:extLst>
            <a:ext uri="{FF2B5EF4-FFF2-40B4-BE49-F238E27FC236}">
              <a16:creationId xmlns:a16="http://schemas.microsoft.com/office/drawing/2014/main" id="{00000000-0008-0000-0200-00007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667750" y="5003800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75</xdr:row>
      <xdr:rowOff>0</xdr:rowOff>
    </xdr:from>
    <xdr:to>
      <xdr:col>7</xdr:col>
      <xdr:colOff>542591</xdr:colOff>
      <xdr:row>75</xdr:row>
      <xdr:rowOff>859611</xdr:rowOff>
    </xdr:to>
    <xdr:pic>
      <xdr:nvPicPr>
        <xdr:cNvPr id="31864" name="Picture 31863" descr="15.31" title="EN Co (BMP)">
          <a:extLst>
            <a:ext uri="{FF2B5EF4-FFF2-40B4-BE49-F238E27FC236}">
              <a16:creationId xmlns:a16="http://schemas.microsoft.com/office/drawing/2014/main" id="{00000000-0008-0000-0200-00007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8667750" y="51022250"/>
          <a:ext cx="542591" cy="85961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7</xdr:col>
      <xdr:colOff>542591</xdr:colOff>
      <xdr:row>76</xdr:row>
      <xdr:rowOff>883997</xdr:rowOff>
    </xdr:to>
    <xdr:pic>
      <xdr:nvPicPr>
        <xdr:cNvPr id="31865" name="Picture 31864" descr="28.01" title="Tank Bn (T-90)">
          <a:extLst>
            <a:ext uri="{FF2B5EF4-FFF2-40B4-BE49-F238E27FC236}">
              <a16:creationId xmlns:a16="http://schemas.microsoft.com/office/drawing/2014/main" id="{00000000-0008-0000-0200-00007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8667750" y="5197475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542591</xdr:colOff>
      <xdr:row>77</xdr:row>
      <xdr:rowOff>896190</xdr:rowOff>
    </xdr:to>
    <xdr:pic>
      <xdr:nvPicPr>
        <xdr:cNvPr id="31866" name="Picture 31865" descr="6.04" title="Tank Co (T-90)">
          <a:extLst>
            <a:ext uri="{FF2B5EF4-FFF2-40B4-BE49-F238E27FC236}">
              <a16:creationId xmlns:a16="http://schemas.microsoft.com/office/drawing/2014/main" id="{00000000-0008-0000-0200-00007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8667750" y="52943125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7</xdr:col>
      <xdr:colOff>542591</xdr:colOff>
      <xdr:row>78</xdr:row>
      <xdr:rowOff>902286</xdr:rowOff>
    </xdr:to>
    <xdr:pic>
      <xdr:nvPicPr>
        <xdr:cNvPr id="31867" name="Picture 31866" descr="7.24" title="Recon Co (Tank)">
          <a:extLst>
            <a:ext uri="{FF2B5EF4-FFF2-40B4-BE49-F238E27FC236}">
              <a16:creationId xmlns:a16="http://schemas.microsoft.com/office/drawing/2014/main" id="{00000000-0008-0000-0200-00007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667750" y="53927375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7</xdr:col>
      <xdr:colOff>542591</xdr:colOff>
      <xdr:row>79</xdr:row>
      <xdr:rowOff>896190</xdr:rowOff>
    </xdr:to>
    <xdr:pic>
      <xdr:nvPicPr>
        <xdr:cNvPr id="31868" name="Picture 31867" descr="31.55" title="Inf Bn (Mtr)">
          <a:extLst>
            <a:ext uri="{FF2B5EF4-FFF2-40B4-BE49-F238E27FC236}">
              <a16:creationId xmlns:a16="http://schemas.microsoft.com/office/drawing/2014/main" id="{00000000-0008-0000-0200-00007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667750" y="5492750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542591</xdr:colOff>
      <xdr:row>80</xdr:row>
      <xdr:rowOff>902286</xdr:rowOff>
    </xdr:to>
    <xdr:pic>
      <xdr:nvPicPr>
        <xdr:cNvPr id="31869" name="Picture 31868" descr="5.57" title="Inf Co (Mtr)">
          <a:extLst>
            <a:ext uri="{FF2B5EF4-FFF2-40B4-BE49-F238E27FC236}">
              <a16:creationId xmlns:a16="http://schemas.microsoft.com/office/drawing/2014/main" id="{00000000-0008-0000-0200-00007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667750" y="5591175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81</xdr:row>
      <xdr:rowOff>0</xdr:rowOff>
    </xdr:from>
    <xdr:to>
      <xdr:col>7</xdr:col>
      <xdr:colOff>542591</xdr:colOff>
      <xdr:row>81</xdr:row>
      <xdr:rowOff>908383</xdr:rowOff>
    </xdr:to>
    <xdr:pic>
      <xdr:nvPicPr>
        <xdr:cNvPr id="31870" name="Picture 31869" descr="8.87" title="Recon Co (BMP)">
          <a:extLst>
            <a:ext uri="{FF2B5EF4-FFF2-40B4-BE49-F238E27FC236}">
              <a16:creationId xmlns:a16="http://schemas.microsoft.com/office/drawing/2014/main" id="{00000000-0008-0000-0200-00007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67750" y="56911875"/>
          <a:ext cx="542591" cy="90838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7</xdr:col>
      <xdr:colOff>542591</xdr:colOff>
      <xdr:row>82</xdr:row>
      <xdr:rowOff>865707</xdr:rowOff>
    </xdr:to>
    <xdr:pic>
      <xdr:nvPicPr>
        <xdr:cNvPr id="31871" name="Picture 31870" descr="16.13" title="Engineer Co (Tank)">
          <a:extLst>
            <a:ext uri="{FF2B5EF4-FFF2-40B4-BE49-F238E27FC236}">
              <a16:creationId xmlns:a16="http://schemas.microsoft.com/office/drawing/2014/main" id="{00000000-0008-0000-0200-00007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8667750" y="57912000"/>
          <a:ext cx="542591" cy="86570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7</xdr:col>
      <xdr:colOff>536494</xdr:colOff>
      <xdr:row>83</xdr:row>
      <xdr:rowOff>646232</xdr:rowOff>
    </xdr:to>
    <xdr:pic>
      <xdr:nvPicPr>
        <xdr:cNvPr id="31872" name="Picture 31871" descr="25.91" title="ADA Bde (Mech Division)">
          <a:extLst>
            <a:ext uri="{FF2B5EF4-FFF2-40B4-BE49-F238E27FC236}">
              <a16:creationId xmlns:a16="http://schemas.microsoft.com/office/drawing/2014/main" id="{00000000-0008-0000-0200-00008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8667750" y="58864500"/>
          <a:ext cx="536494" cy="6462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542591</xdr:colOff>
      <xdr:row>84</xdr:row>
      <xdr:rowOff>890093</xdr:rowOff>
    </xdr:to>
    <xdr:pic>
      <xdr:nvPicPr>
        <xdr:cNvPr id="31873" name="Picture 31872" descr="41.12" title="Infantry Bn (BMP-3)">
          <a:extLst>
            <a:ext uri="{FF2B5EF4-FFF2-40B4-BE49-F238E27FC236}">
              <a16:creationId xmlns:a16="http://schemas.microsoft.com/office/drawing/2014/main" id="{00000000-0008-0000-0200-00008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667750" y="59563000"/>
          <a:ext cx="542591" cy="89009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7</xdr:col>
      <xdr:colOff>542591</xdr:colOff>
      <xdr:row>85</xdr:row>
      <xdr:rowOff>890093</xdr:rowOff>
    </xdr:to>
    <xdr:pic>
      <xdr:nvPicPr>
        <xdr:cNvPr id="31874" name="Picture 31873" descr="8.3" title="Infantry Co (BMP-3)">
          <a:extLst>
            <a:ext uri="{FF2B5EF4-FFF2-40B4-BE49-F238E27FC236}">
              <a16:creationId xmlns:a16="http://schemas.microsoft.com/office/drawing/2014/main" id="{00000000-0008-0000-0200-00008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67750" y="60547250"/>
          <a:ext cx="542591" cy="89009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7</xdr:col>
      <xdr:colOff>542591</xdr:colOff>
      <xdr:row>86</xdr:row>
      <xdr:rowOff>957155</xdr:rowOff>
    </xdr:to>
    <xdr:pic>
      <xdr:nvPicPr>
        <xdr:cNvPr id="31875" name="Picture 31874" descr="28.96" title="Tank Bn (T-80U)">
          <a:extLst>
            <a:ext uri="{FF2B5EF4-FFF2-40B4-BE49-F238E27FC236}">
              <a16:creationId xmlns:a16="http://schemas.microsoft.com/office/drawing/2014/main" id="{00000000-0008-0000-0200-00008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667750" y="61515625"/>
          <a:ext cx="542591" cy="95715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87</xdr:row>
      <xdr:rowOff>0</xdr:rowOff>
    </xdr:from>
    <xdr:to>
      <xdr:col>7</xdr:col>
      <xdr:colOff>542591</xdr:colOff>
      <xdr:row>87</xdr:row>
      <xdr:rowOff>896190</xdr:rowOff>
    </xdr:to>
    <xdr:pic>
      <xdr:nvPicPr>
        <xdr:cNvPr id="31876" name="Picture 31875" descr="6.34" title="Tank Co (T-80U)">
          <a:extLst>
            <a:ext uri="{FF2B5EF4-FFF2-40B4-BE49-F238E27FC236}">
              <a16:creationId xmlns:a16="http://schemas.microsoft.com/office/drawing/2014/main" id="{00000000-0008-0000-0200-00008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667750" y="6257925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542591</xdr:colOff>
      <xdr:row>88</xdr:row>
      <xdr:rowOff>902286</xdr:rowOff>
    </xdr:to>
    <xdr:pic>
      <xdr:nvPicPr>
        <xdr:cNvPr id="31877" name="Picture 31876" descr="21.42" title="FA Bn (2S19)">
          <a:extLst>
            <a:ext uri="{FF2B5EF4-FFF2-40B4-BE49-F238E27FC236}">
              <a16:creationId xmlns:a16="http://schemas.microsoft.com/office/drawing/2014/main" id="{00000000-0008-0000-0200-00008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667750" y="6356350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7</xdr:col>
      <xdr:colOff>542591</xdr:colOff>
      <xdr:row>89</xdr:row>
      <xdr:rowOff>883997</xdr:rowOff>
    </xdr:to>
    <xdr:pic>
      <xdr:nvPicPr>
        <xdr:cNvPr id="31878" name="Picture 31877" descr="4.26" title="FA Btry (2S19)">
          <a:extLst>
            <a:ext uri="{FF2B5EF4-FFF2-40B4-BE49-F238E27FC236}">
              <a16:creationId xmlns:a16="http://schemas.microsoft.com/office/drawing/2014/main" id="{00000000-0008-0000-0200-00008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67750" y="64563625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90</xdr:row>
      <xdr:rowOff>0</xdr:rowOff>
    </xdr:from>
    <xdr:to>
      <xdr:col>7</xdr:col>
      <xdr:colOff>542591</xdr:colOff>
      <xdr:row>90</xdr:row>
      <xdr:rowOff>963251</xdr:rowOff>
    </xdr:to>
    <xdr:pic>
      <xdr:nvPicPr>
        <xdr:cNvPr id="31879" name="Picture 31878" descr="8.87" title="Recon Co (BTR-80)">
          <a:extLst>
            <a:ext uri="{FF2B5EF4-FFF2-40B4-BE49-F238E27FC236}">
              <a16:creationId xmlns:a16="http://schemas.microsoft.com/office/drawing/2014/main" id="{00000000-0008-0000-0200-00008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667750" y="65532000"/>
          <a:ext cx="542591" cy="9632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542591</xdr:colOff>
      <xdr:row>91</xdr:row>
      <xdr:rowOff>896190</xdr:rowOff>
    </xdr:to>
    <xdr:pic>
      <xdr:nvPicPr>
        <xdr:cNvPr id="31880" name="Picture 31879" descr="36.3" title="Infantry Bn (BMP-2)">
          <a:extLst>
            <a:ext uri="{FF2B5EF4-FFF2-40B4-BE49-F238E27FC236}">
              <a16:creationId xmlns:a16="http://schemas.microsoft.com/office/drawing/2014/main" id="{00000000-0008-0000-0200-00008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667750" y="66595625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7</xdr:col>
      <xdr:colOff>542591</xdr:colOff>
      <xdr:row>92</xdr:row>
      <xdr:rowOff>890093</xdr:rowOff>
    </xdr:to>
    <xdr:pic>
      <xdr:nvPicPr>
        <xdr:cNvPr id="31881" name="Picture 31880" descr="7.1" title="Infantry Co (BMP-2)">
          <a:extLst>
            <a:ext uri="{FF2B5EF4-FFF2-40B4-BE49-F238E27FC236}">
              <a16:creationId xmlns:a16="http://schemas.microsoft.com/office/drawing/2014/main" id="{00000000-0008-0000-0200-00008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667750" y="67579875"/>
          <a:ext cx="542591" cy="89009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93</xdr:row>
      <xdr:rowOff>0</xdr:rowOff>
    </xdr:from>
    <xdr:to>
      <xdr:col>7</xdr:col>
      <xdr:colOff>542591</xdr:colOff>
      <xdr:row>93</xdr:row>
      <xdr:rowOff>1036410</xdr:rowOff>
    </xdr:to>
    <xdr:pic>
      <xdr:nvPicPr>
        <xdr:cNvPr id="31882" name="Picture 31881" descr="269.35" title="Infantry Bde (BMP-3/T-80U)">
          <a:extLst>
            <a:ext uri="{FF2B5EF4-FFF2-40B4-BE49-F238E27FC236}">
              <a16:creationId xmlns:a16="http://schemas.microsoft.com/office/drawing/2014/main" id="{00000000-0008-0000-0200-00008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667750" y="68564125"/>
          <a:ext cx="542591" cy="10364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7</xdr:col>
      <xdr:colOff>542591</xdr:colOff>
      <xdr:row>94</xdr:row>
      <xdr:rowOff>969348</xdr:rowOff>
    </xdr:to>
    <xdr:pic>
      <xdr:nvPicPr>
        <xdr:cNvPr id="31883" name="Picture 31882" descr="8.67" title="Infantry Co (BTR-80)">
          <a:extLst>
            <a:ext uri="{FF2B5EF4-FFF2-40B4-BE49-F238E27FC236}">
              <a16:creationId xmlns:a16="http://schemas.microsoft.com/office/drawing/2014/main" id="{00000000-0008-0000-0200-00008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8667750" y="69707125"/>
          <a:ext cx="542591" cy="96934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542591</xdr:colOff>
      <xdr:row>95</xdr:row>
      <xdr:rowOff>883997</xdr:rowOff>
    </xdr:to>
    <xdr:pic>
      <xdr:nvPicPr>
        <xdr:cNvPr id="31884" name="Picture 31883" descr="25.47" title="Tank Bn (T-72A)">
          <a:extLst>
            <a:ext uri="{FF2B5EF4-FFF2-40B4-BE49-F238E27FC236}">
              <a16:creationId xmlns:a16="http://schemas.microsoft.com/office/drawing/2014/main" id="{00000000-0008-0000-0200-00008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67750" y="7077075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96</xdr:row>
      <xdr:rowOff>0</xdr:rowOff>
    </xdr:from>
    <xdr:to>
      <xdr:col>7</xdr:col>
      <xdr:colOff>542591</xdr:colOff>
      <xdr:row>96</xdr:row>
      <xdr:rowOff>896190</xdr:rowOff>
    </xdr:to>
    <xdr:pic>
      <xdr:nvPicPr>
        <xdr:cNvPr id="31885" name="Picture 31884" descr="5.22" title="Tank Co (T-72A)">
          <a:extLst>
            <a:ext uri="{FF2B5EF4-FFF2-40B4-BE49-F238E27FC236}">
              <a16:creationId xmlns:a16="http://schemas.microsoft.com/office/drawing/2014/main" id="{00000000-0008-0000-0200-00008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667750" y="71739125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7</xdr:col>
      <xdr:colOff>542591</xdr:colOff>
      <xdr:row>97</xdr:row>
      <xdr:rowOff>920576</xdr:rowOff>
    </xdr:to>
    <xdr:pic>
      <xdr:nvPicPr>
        <xdr:cNvPr id="31886" name="Picture 31885" descr="21.42" title="FA Bn (G5)">
          <a:extLst>
            <a:ext uri="{FF2B5EF4-FFF2-40B4-BE49-F238E27FC236}">
              <a16:creationId xmlns:a16="http://schemas.microsoft.com/office/drawing/2014/main" id="{00000000-0008-0000-0200-00008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8667750" y="72723375"/>
          <a:ext cx="542591" cy="92057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7</xdr:col>
      <xdr:colOff>536494</xdr:colOff>
      <xdr:row>98</xdr:row>
      <xdr:rowOff>914479</xdr:rowOff>
    </xdr:to>
    <xdr:pic>
      <xdr:nvPicPr>
        <xdr:cNvPr id="31887" name="Picture 31886" descr="4.26" title="FA Btry (G5)">
          <a:extLst>
            <a:ext uri="{FF2B5EF4-FFF2-40B4-BE49-F238E27FC236}">
              <a16:creationId xmlns:a16="http://schemas.microsoft.com/office/drawing/2014/main" id="{00000000-0008-0000-0200-00008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8667750" y="73739375"/>
          <a:ext cx="536494" cy="91447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542591</xdr:colOff>
      <xdr:row>99</xdr:row>
      <xdr:rowOff>829128</xdr:rowOff>
    </xdr:to>
    <xdr:pic>
      <xdr:nvPicPr>
        <xdr:cNvPr id="31888" name="Picture 31887" descr="3.24" title="SP Combo Gun Btry">
          <a:extLst>
            <a:ext uri="{FF2B5EF4-FFF2-40B4-BE49-F238E27FC236}">
              <a16:creationId xmlns:a16="http://schemas.microsoft.com/office/drawing/2014/main" id="{00000000-0008-0000-0200-00009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8667750" y="74755375"/>
          <a:ext cx="542591" cy="82912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7</xdr:col>
      <xdr:colOff>542591</xdr:colOff>
      <xdr:row>100</xdr:row>
      <xdr:rowOff>957155</xdr:rowOff>
    </xdr:to>
    <xdr:pic>
      <xdr:nvPicPr>
        <xdr:cNvPr id="31889" name="Picture 31888" descr="42.9" title="Infantry Bn (BTR-80)">
          <a:extLst>
            <a:ext uri="{FF2B5EF4-FFF2-40B4-BE49-F238E27FC236}">
              <a16:creationId xmlns:a16="http://schemas.microsoft.com/office/drawing/2014/main" id="{00000000-0008-0000-0200-00009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67750" y="75676125"/>
          <a:ext cx="542591" cy="95715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7</xdr:col>
      <xdr:colOff>542591</xdr:colOff>
      <xdr:row>101</xdr:row>
      <xdr:rowOff>1036410</xdr:rowOff>
    </xdr:to>
    <xdr:pic>
      <xdr:nvPicPr>
        <xdr:cNvPr id="31890" name="Picture 31889" descr="274.8" title="Infantry Bde (BTR-80/T-72A)">
          <a:extLst>
            <a:ext uri="{FF2B5EF4-FFF2-40B4-BE49-F238E27FC236}">
              <a16:creationId xmlns:a16="http://schemas.microsoft.com/office/drawing/2014/main" id="{00000000-0008-0000-0200-00009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8667750" y="76739750"/>
          <a:ext cx="542591" cy="10364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530398</xdr:colOff>
      <xdr:row>102</xdr:row>
      <xdr:rowOff>1030313</xdr:rowOff>
    </xdr:to>
    <xdr:pic>
      <xdr:nvPicPr>
        <xdr:cNvPr id="31891" name="Picture 31890" descr="251.05" title="Infantry Bde (BMP-2/T-80U)">
          <a:extLst>
            <a:ext uri="{FF2B5EF4-FFF2-40B4-BE49-F238E27FC236}">
              <a16:creationId xmlns:a16="http://schemas.microsoft.com/office/drawing/2014/main" id="{00000000-0008-0000-0200-00009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8667750" y="77882750"/>
          <a:ext cx="530398" cy="103031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7</xdr:col>
      <xdr:colOff>536494</xdr:colOff>
      <xdr:row>103</xdr:row>
      <xdr:rowOff>1030313</xdr:rowOff>
    </xdr:to>
    <xdr:pic>
      <xdr:nvPicPr>
        <xdr:cNvPr id="31892" name="Picture 31891" descr="211.95" title="Tank Bde (T72A/BMP-2)">
          <a:extLst>
            <a:ext uri="{FF2B5EF4-FFF2-40B4-BE49-F238E27FC236}">
              <a16:creationId xmlns:a16="http://schemas.microsoft.com/office/drawing/2014/main" id="{00000000-0008-0000-0200-00009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8667750" y="79009875"/>
          <a:ext cx="536494" cy="103031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7</xdr:col>
      <xdr:colOff>542591</xdr:colOff>
      <xdr:row>104</xdr:row>
      <xdr:rowOff>1030313</xdr:rowOff>
    </xdr:to>
    <xdr:pic>
      <xdr:nvPicPr>
        <xdr:cNvPr id="31893" name="Picture 31892" descr="222.64" title="Tank Bde (T-80U/BMP-2)">
          <a:extLst>
            <a:ext uri="{FF2B5EF4-FFF2-40B4-BE49-F238E27FC236}">
              <a16:creationId xmlns:a16="http://schemas.microsoft.com/office/drawing/2014/main" id="{00000000-0008-0000-0200-00009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8667750" y="80137000"/>
          <a:ext cx="542591" cy="103031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105</xdr:row>
      <xdr:rowOff>0</xdr:rowOff>
    </xdr:from>
    <xdr:to>
      <xdr:col>7</xdr:col>
      <xdr:colOff>536494</xdr:colOff>
      <xdr:row>105</xdr:row>
      <xdr:rowOff>1030313</xdr:rowOff>
    </xdr:to>
    <xdr:pic>
      <xdr:nvPicPr>
        <xdr:cNvPr id="31894" name="Picture 31893" descr="230.49" title="Tank Bde (T-90/BMP-3)">
          <a:extLst>
            <a:ext uri="{FF2B5EF4-FFF2-40B4-BE49-F238E27FC236}">
              <a16:creationId xmlns:a16="http://schemas.microsoft.com/office/drawing/2014/main" id="{00000000-0008-0000-0200-00009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8667750" y="81264125"/>
          <a:ext cx="536494" cy="103031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530398</xdr:colOff>
      <xdr:row>106</xdr:row>
      <xdr:rowOff>908383</xdr:rowOff>
    </xdr:to>
    <xdr:pic>
      <xdr:nvPicPr>
        <xdr:cNvPr id="31895" name="Picture 31894" descr="240.18" title="Inf Bde (Mtr)">
          <a:extLst>
            <a:ext uri="{FF2B5EF4-FFF2-40B4-BE49-F238E27FC236}">
              <a16:creationId xmlns:a16="http://schemas.microsoft.com/office/drawing/2014/main" id="{00000000-0008-0000-0200-00009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8667750" y="82391250"/>
          <a:ext cx="530398" cy="90838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7</xdr:col>
      <xdr:colOff>530398</xdr:colOff>
      <xdr:row>107</xdr:row>
      <xdr:rowOff>719390</xdr:rowOff>
    </xdr:to>
    <xdr:pic>
      <xdr:nvPicPr>
        <xdr:cNvPr id="31896" name="Picture 31895" descr="192.89" title="Inf Bde (Light)">
          <a:extLst>
            <a:ext uri="{FF2B5EF4-FFF2-40B4-BE49-F238E27FC236}">
              <a16:creationId xmlns:a16="http://schemas.microsoft.com/office/drawing/2014/main" id="{00000000-0008-0000-0200-00009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8667750" y="83391375"/>
          <a:ext cx="530398" cy="7193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108</xdr:row>
      <xdr:rowOff>0</xdr:rowOff>
    </xdr:from>
    <xdr:to>
      <xdr:col>7</xdr:col>
      <xdr:colOff>542591</xdr:colOff>
      <xdr:row>108</xdr:row>
      <xdr:rowOff>664522</xdr:rowOff>
    </xdr:to>
    <xdr:pic>
      <xdr:nvPicPr>
        <xdr:cNvPr id="31897" name="Picture 31896" descr="75.13" title="Guerilla Bde">
          <a:extLst>
            <a:ext uri="{FF2B5EF4-FFF2-40B4-BE49-F238E27FC236}">
              <a16:creationId xmlns:a16="http://schemas.microsoft.com/office/drawing/2014/main" id="{00000000-0008-0000-0200-00009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8667750" y="84185125"/>
          <a:ext cx="542591" cy="6645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7</xdr:col>
      <xdr:colOff>530398</xdr:colOff>
      <xdr:row>109</xdr:row>
      <xdr:rowOff>640135</xdr:rowOff>
    </xdr:to>
    <xdr:pic>
      <xdr:nvPicPr>
        <xdr:cNvPr id="31898" name="Picture 31897" descr="131.55" title="FA Bde (Mech Division)">
          <a:extLst>
            <a:ext uri="{FF2B5EF4-FFF2-40B4-BE49-F238E27FC236}">
              <a16:creationId xmlns:a16="http://schemas.microsoft.com/office/drawing/2014/main" id="{00000000-0008-0000-0200-00009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8667750" y="84915375"/>
          <a:ext cx="530398" cy="6401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530398</xdr:colOff>
      <xdr:row>110</xdr:row>
      <xdr:rowOff>640135</xdr:rowOff>
    </xdr:to>
    <xdr:pic>
      <xdr:nvPicPr>
        <xdr:cNvPr id="31899" name="Picture 31898" descr="104.15" title="FA Bde (MRL)">
          <a:extLst>
            <a:ext uri="{FF2B5EF4-FFF2-40B4-BE49-F238E27FC236}">
              <a16:creationId xmlns:a16="http://schemas.microsoft.com/office/drawing/2014/main" id="{00000000-0008-0000-0200-00009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8667750" y="85613875"/>
          <a:ext cx="530398" cy="6401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111</xdr:row>
      <xdr:rowOff>0</xdr:rowOff>
    </xdr:from>
    <xdr:to>
      <xdr:col>7</xdr:col>
      <xdr:colOff>542591</xdr:colOff>
      <xdr:row>111</xdr:row>
      <xdr:rowOff>640135</xdr:rowOff>
    </xdr:to>
    <xdr:pic>
      <xdr:nvPicPr>
        <xdr:cNvPr id="31900" name="Picture 31899" descr="122.8" title="FA Bde (Mtr Division)">
          <a:extLst>
            <a:ext uri="{FF2B5EF4-FFF2-40B4-BE49-F238E27FC236}">
              <a16:creationId xmlns:a16="http://schemas.microsoft.com/office/drawing/2014/main" id="{00000000-0008-0000-0200-00009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8667750" y="86312375"/>
          <a:ext cx="542591" cy="6401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7</xdr:col>
      <xdr:colOff>536494</xdr:colOff>
      <xdr:row>112</xdr:row>
      <xdr:rowOff>634039</xdr:rowOff>
    </xdr:to>
    <xdr:pic>
      <xdr:nvPicPr>
        <xdr:cNvPr id="31901" name="Picture 31900" descr="18.04" title="ADA Bn (Mech)">
          <a:extLst>
            <a:ext uri="{FF2B5EF4-FFF2-40B4-BE49-F238E27FC236}">
              <a16:creationId xmlns:a16="http://schemas.microsoft.com/office/drawing/2014/main" id="{00000000-0008-0000-0200-00009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8667750" y="87010875"/>
          <a:ext cx="536494" cy="63403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560881</xdr:colOff>
      <xdr:row>23</xdr:row>
      <xdr:rowOff>487722</xdr:rowOff>
    </xdr:to>
    <xdr:pic>
      <xdr:nvPicPr>
        <xdr:cNvPr id="31902" name="Picture 31901" descr="20.51" title="FA Bn (M777)">
          <a:extLst>
            <a:ext uri="{FF2B5EF4-FFF2-40B4-BE49-F238E27FC236}">
              <a16:creationId xmlns:a16="http://schemas.microsoft.com/office/drawing/2014/main" id="{00000000-0008-0000-0200-00009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666750" y="673100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560881</xdr:colOff>
      <xdr:row>24</xdr:row>
      <xdr:rowOff>475529</xdr:rowOff>
    </xdr:to>
    <xdr:pic>
      <xdr:nvPicPr>
        <xdr:cNvPr id="31903" name="Picture 31902" descr="15.72" title="AVN Bn (AH-64)">
          <a:extLst>
            <a:ext uri="{FF2B5EF4-FFF2-40B4-BE49-F238E27FC236}">
              <a16:creationId xmlns:a16="http://schemas.microsoft.com/office/drawing/2014/main" id="{00000000-0008-0000-0200-00009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666750" y="736600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560881</xdr:colOff>
      <xdr:row>25</xdr:row>
      <xdr:rowOff>603556</xdr:rowOff>
    </xdr:to>
    <xdr:pic>
      <xdr:nvPicPr>
        <xdr:cNvPr id="31904" name="Picture 31903" descr="40" title="CAS Sortie x5">
          <a:extLst>
            <a:ext uri="{FF2B5EF4-FFF2-40B4-BE49-F238E27FC236}">
              <a16:creationId xmlns:a16="http://schemas.microsoft.com/office/drawing/2014/main" id="{00000000-0008-0000-0200-0000A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666750" y="7985125"/>
          <a:ext cx="560881" cy="6035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554784</xdr:colOff>
      <xdr:row>26</xdr:row>
      <xdr:rowOff>603556</xdr:rowOff>
    </xdr:to>
    <xdr:pic>
      <xdr:nvPicPr>
        <xdr:cNvPr id="31905" name="Picture 31904" descr="80" title="CAS Sortie x10">
          <a:extLst>
            <a:ext uri="{FF2B5EF4-FFF2-40B4-BE49-F238E27FC236}">
              <a16:creationId xmlns:a16="http://schemas.microsoft.com/office/drawing/2014/main" id="{00000000-0008-0000-0200-0000A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666750" y="8636000"/>
          <a:ext cx="554784" cy="6035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560881</xdr:colOff>
      <xdr:row>27</xdr:row>
      <xdr:rowOff>493819</xdr:rowOff>
    </xdr:to>
    <xdr:pic>
      <xdr:nvPicPr>
        <xdr:cNvPr id="31906" name="Picture 31905" descr="1.5" title="Avenger Btry">
          <a:extLst>
            <a:ext uri="{FF2B5EF4-FFF2-40B4-BE49-F238E27FC236}">
              <a16:creationId xmlns:a16="http://schemas.microsoft.com/office/drawing/2014/main" id="{00000000-0008-0000-0200-0000A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666750" y="9286875"/>
          <a:ext cx="560881" cy="4938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560881</xdr:colOff>
      <xdr:row>28</xdr:row>
      <xdr:rowOff>487722</xdr:rowOff>
    </xdr:to>
    <xdr:pic>
      <xdr:nvPicPr>
        <xdr:cNvPr id="31907" name="Picture 31906" descr="9.5" title="Avenger Bn">
          <a:extLst>
            <a:ext uri="{FF2B5EF4-FFF2-40B4-BE49-F238E27FC236}">
              <a16:creationId xmlns:a16="http://schemas.microsoft.com/office/drawing/2014/main" id="{00000000-0008-0000-0200-0000A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666750" y="1022350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560881</xdr:colOff>
      <xdr:row>29</xdr:row>
      <xdr:rowOff>506012</xdr:rowOff>
    </xdr:to>
    <xdr:pic>
      <xdr:nvPicPr>
        <xdr:cNvPr id="31908" name="Picture 31907" descr="12.3" title="MP Co">
          <a:extLst>
            <a:ext uri="{FF2B5EF4-FFF2-40B4-BE49-F238E27FC236}">
              <a16:creationId xmlns:a16="http://schemas.microsoft.com/office/drawing/2014/main" id="{00000000-0008-0000-0200-0000A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666750" y="11191875"/>
          <a:ext cx="560881" cy="5060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560881</xdr:colOff>
      <xdr:row>30</xdr:row>
      <xdr:rowOff>463336</xdr:rowOff>
    </xdr:to>
    <xdr:pic>
      <xdr:nvPicPr>
        <xdr:cNvPr id="31909" name="Picture 31908" descr="5.24" title="AVN Co (AH-64)">
          <a:extLst>
            <a:ext uri="{FF2B5EF4-FFF2-40B4-BE49-F238E27FC236}">
              <a16:creationId xmlns:a16="http://schemas.microsoft.com/office/drawing/2014/main" id="{00000000-0008-0000-0200-0000A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666750" y="12128500"/>
          <a:ext cx="560881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560881</xdr:colOff>
      <xdr:row>31</xdr:row>
      <xdr:rowOff>451143</xdr:rowOff>
    </xdr:to>
    <xdr:pic>
      <xdr:nvPicPr>
        <xdr:cNvPr id="31910" name="Picture 31909" descr="8" title="CAS Sortie Equivalent">
          <a:extLst>
            <a:ext uri="{FF2B5EF4-FFF2-40B4-BE49-F238E27FC236}">
              <a16:creationId xmlns:a16="http://schemas.microsoft.com/office/drawing/2014/main" id="{00000000-0008-0000-0200-0000A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666750" y="13096875"/>
          <a:ext cx="560881" cy="451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560881</xdr:colOff>
      <xdr:row>32</xdr:row>
      <xdr:rowOff>603556</xdr:rowOff>
    </xdr:to>
    <xdr:pic>
      <xdr:nvPicPr>
        <xdr:cNvPr id="31911" name="Picture 31910" descr="16" title="CAS Sortie x2">
          <a:extLst>
            <a:ext uri="{FF2B5EF4-FFF2-40B4-BE49-F238E27FC236}">
              <a16:creationId xmlns:a16="http://schemas.microsoft.com/office/drawing/2014/main" id="{00000000-0008-0000-0200-0000A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666750" y="14033500"/>
          <a:ext cx="560881" cy="6035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560881</xdr:colOff>
      <xdr:row>33</xdr:row>
      <xdr:rowOff>518205</xdr:rowOff>
    </xdr:to>
    <xdr:pic>
      <xdr:nvPicPr>
        <xdr:cNvPr id="31912" name="Picture 31911" descr="14.16" title="Cav Sqdn (IBCT)">
          <a:extLst>
            <a:ext uri="{FF2B5EF4-FFF2-40B4-BE49-F238E27FC236}">
              <a16:creationId xmlns:a16="http://schemas.microsoft.com/office/drawing/2014/main" id="{00000000-0008-0000-0200-0000A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666750" y="14986000"/>
          <a:ext cx="560881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560881</xdr:colOff>
      <xdr:row>34</xdr:row>
      <xdr:rowOff>542591</xdr:rowOff>
    </xdr:to>
    <xdr:pic>
      <xdr:nvPicPr>
        <xdr:cNvPr id="31913" name="Picture 31912" descr="17.6" title="FA Bn (Comp)">
          <a:extLst>
            <a:ext uri="{FF2B5EF4-FFF2-40B4-BE49-F238E27FC236}">
              <a16:creationId xmlns:a16="http://schemas.microsoft.com/office/drawing/2014/main" id="{00000000-0008-0000-0200-0000A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666750" y="15716250"/>
          <a:ext cx="560881" cy="5425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560881</xdr:colOff>
      <xdr:row>35</xdr:row>
      <xdr:rowOff>585267</xdr:rowOff>
    </xdr:to>
    <xdr:pic>
      <xdr:nvPicPr>
        <xdr:cNvPr id="31914" name="Picture 31913" descr="3.31" title="FA Btry (M119)">
          <a:extLst>
            <a:ext uri="{FF2B5EF4-FFF2-40B4-BE49-F238E27FC236}">
              <a16:creationId xmlns:a16="http://schemas.microsoft.com/office/drawing/2014/main" id="{00000000-0008-0000-0200-0000A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666750" y="16430625"/>
          <a:ext cx="560881" cy="5852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560881</xdr:colOff>
      <xdr:row>36</xdr:row>
      <xdr:rowOff>585267</xdr:rowOff>
    </xdr:to>
    <xdr:pic>
      <xdr:nvPicPr>
        <xdr:cNvPr id="31915" name="Picture 31914" descr="4.1" title="FA Btry (M777)">
          <a:extLst>
            <a:ext uri="{FF2B5EF4-FFF2-40B4-BE49-F238E27FC236}">
              <a16:creationId xmlns:a16="http://schemas.microsoft.com/office/drawing/2014/main" id="{00000000-0008-0000-0200-0000A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666750" y="17430750"/>
          <a:ext cx="560881" cy="5852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554784</xdr:colOff>
      <xdr:row>37</xdr:row>
      <xdr:rowOff>573074</xdr:rowOff>
    </xdr:to>
    <xdr:pic>
      <xdr:nvPicPr>
        <xdr:cNvPr id="31916" name="Picture 31915" descr="6.7" title="EN Co (Sapper)">
          <a:extLst>
            <a:ext uri="{FF2B5EF4-FFF2-40B4-BE49-F238E27FC236}">
              <a16:creationId xmlns:a16="http://schemas.microsoft.com/office/drawing/2014/main" id="{00000000-0008-0000-0200-0000A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666750" y="18399125"/>
          <a:ext cx="554784" cy="5730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560881</xdr:colOff>
      <xdr:row>38</xdr:row>
      <xdr:rowOff>487722</xdr:rowOff>
    </xdr:to>
    <xdr:pic>
      <xdr:nvPicPr>
        <xdr:cNvPr id="31917" name="Picture 31916" descr="5.25" title="FA Btry (MLRS)">
          <a:extLst>
            <a:ext uri="{FF2B5EF4-FFF2-40B4-BE49-F238E27FC236}">
              <a16:creationId xmlns:a16="http://schemas.microsoft.com/office/drawing/2014/main" id="{00000000-0008-0000-0200-0000A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666750" y="1939925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560881</xdr:colOff>
      <xdr:row>39</xdr:row>
      <xdr:rowOff>469433</xdr:rowOff>
    </xdr:to>
    <xdr:pic>
      <xdr:nvPicPr>
        <xdr:cNvPr id="31918" name="Picture 31917" descr="10.48" title="FA Bn (HIMARS)">
          <a:extLst>
            <a:ext uri="{FF2B5EF4-FFF2-40B4-BE49-F238E27FC236}">
              <a16:creationId xmlns:a16="http://schemas.microsoft.com/office/drawing/2014/main" id="{00000000-0008-0000-0200-0000A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666750" y="20367625"/>
          <a:ext cx="560881" cy="4694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560881</xdr:colOff>
      <xdr:row>40</xdr:row>
      <xdr:rowOff>518205</xdr:rowOff>
    </xdr:to>
    <xdr:pic>
      <xdr:nvPicPr>
        <xdr:cNvPr id="31919" name="Picture 31918" descr="39.88" title="Cav Sqdn (M1A2)">
          <a:extLst>
            <a:ext uri="{FF2B5EF4-FFF2-40B4-BE49-F238E27FC236}">
              <a16:creationId xmlns:a16="http://schemas.microsoft.com/office/drawing/2014/main" id="{00000000-0008-0000-0200-0000A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666750" y="21288375"/>
          <a:ext cx="560881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554784</xdr:colOff>
      <xdr:row>41</xdr:row>
      <xdr:rowOff>518205</xdr:rowOff>
    </xdr:to>
    <xdr:pic>
      <xdr:nvPicPr>
        <xdr:cNvPr id="31920" name="Picture 31919" descr="8.55" title="Cav Trp (ABCT)">
          <a:extLst>
            <a:ext uri="{FF2B5EF4-FFF2-40B4-BE49-F238E27FC236}">
              <a16:creationId xmlns:a16="http://schemas.microsoft.com/office/drawing/2014/main" id="{00000000-0008-0000-0200-0000B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666750" y="22209125"/>
          <a:ext cx="554784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554784</xdr:colOff>
      <xdr:row>42</xdr:row>
      <xdr:rowOff>481626</xdr:rowOff>
    </xdr:to>
    <xdr:pic>
      <xdr:nvPicPr>
        <xdr:cNvPr id="31921" name="Picture 31920" descr="37.24" title="Combined Arms Bn (M1A2)">
          <a:extLst>
            <a:ext uri="{FF2B5EF4-FFF2-40B4-BE49-F238E27FC236}">
              <a16:creationId xmlns:a16="http://schemas.microsoft.com/office/drawing/2014/main" id="{00000000-0008-0000-0200-0000B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666750" y="23098125"/>
          <a:ext cx="554784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554784</xdr:colOff>
      <xdr:row>43</xdr:row>
      <xdr:rowOff>487722</xdr:rowOff>
    </xdr:to>
    <xdr:pic>
      <xdr:nvPicPr>
        <xdr:cNvPr id="31922" name="Picture 31921" descr="21.31" title="EN Bn (ABCT)">
          <a:extLst>
            <a:ext uri="{FF2B5EF4-FFF2-40B4-BE49-F238E27FC236}">
              <a16:creationId xmlns:a16="http://schemas.microsoft.com/office/drawing/2014/main" id="{00000000-0008-0000-0200-0000B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666750" y="24018875"/>
          <a:ext cx="554784" cy="4877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554784</xdr:colOff>
      <xdr:row>44</xdr:row>
      <xdr:rowOff>481626</xdr:rowOff>
    </xdr:to>
    <xdr:pic>
      <xdr:nvPicPr>
        <xdr:cNvPr id="31923" name="Picture 31922" descr="5.01" title="Cav Trp (IBCT)">
          <a:extLst>
            <a:ext uri="{FF2B5EF4-FFF2-40B4-BE49-F238E27FC236}">
              <a16:creationId xmlns:a16="http://schemas.microsoft.com/office/drawing/2014/main" id="{00000000-0008-0000-0200-0000B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666750" y="24907875"/>
          <a:ext cx="554784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560881</xdr:colOff>
      <xdr:row>45</xdr:row>
      <xdr:rowOff>481626</xdr:rowOff>
    </xdr:to>
    <xdr:pic>
      <xdr:nvPicPr>
        <xdr:cNvPr id="31924" name="Picture 31923" descr="13.08" title="FA Bn (MLRS)">
          <a:extLst>
            <a:ext uri="{FF2B5EF4-FFF2-40B4-BE49-F238E27FC236}">
              <a16:creationId xmlns:a16="http://schemas.microsoft.com/office/drawing/2014/main" id="{00000000-0008-0000-0200-0000B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666750" y="2581275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560881</xdr:colOff>
      <xdr:row>46</xdr:row>
      <xdr:rowOff>475529</xdr:rowOff>
    </xdr:to>
    <xdr:pic>
      <xdr:nvPicPr>
        <xdr:cNvPr id="31925" name="Picture 31924" descr="13.17" title="EN Bn (IBCT)">
          <a:extLst>
            <a:ext uri="{FF2B5EF4-FFF2-40B4-BE49-F238E27FC236}">
              <a16:creationId xmlns:a16="http://schemas.microsoft.com/office/drawing/2014/main" id="{00000000-0008-0000-0200-0000B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666750" y="2670175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560881</xdr:colOff>
      <xdr:row>47</xdr:row>
      <xdr:rowOff>481626</xdr:rowOff>
    </xdr:to>
    <xdr:pic>
      <xdr:nvPicPr>
        <xdr:cNvPr id="31926" name="Picture 31925" descr="3.75" title="EN A Co (IBCT)">
          <a:extLst>
            <a:ext uri="{FF2B5EF4-FFF2-40B4-BE49-F238E27FC236}">
              <a16:creationId xmlns:a16="http://schemas.microsoft.com/office/drawing/2014/main" id="{00000000-0008-0000-0200-0000B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666750" y="2762250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566977</xdr:colOff>
      <xdr:row>48</xdr:row>
      <xdr:rowOff>609653</xdr:rowOff>
    </xdr:to>
    <xdr:pic>
      <xdr:nvPicPr>
        <xdr:cNvPr id="31927" name="Picture 31926" descr="19.09" title="Infantry Bn (IBCT)">
          <a:extLst>
            <a:ext uri="{FF2B5EF4-FFF2-40B4-BE49-F238E27FC236}">
              <a16:creationId xmlns:a16="http://schemas.microsoft.com/office/drawing/2014/main" id="{00000000-0008-0000-0200-0000B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666750" y="28622625"/>
          <a:ext cx="566977" cy="6096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566977</xdr:colOff>
      <xdr:row>49</xdr:row>
      <xdr:rowOff>609653</xdr:rowOff>
    </xdr:to>
    <xdr:pic>
      <xdr:nvPicPr>
        <xdr:cNvPr id="31928" name="Picture 31927" descr="2.7" title="Infantry Co (IBCT)">
          <a:extLst>
            <a:ext uri="{FF2B5EF4-FFF2-40B4-BE49-F238E27FC236}">
              <a16:creationId xmlns:a16="http://schemas.microsoft.com/office/drawing/2014/main" id="{00000000-0008-0000-0200-0000B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666750" y="29591000"/>
          <a:ext cx="566977" cy="6096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566977</xdr:colOff>
      <xdr:row>50</xdr:row>
      <xdr:rowOff>609653</xdr:rowOff>
    </xdr:to>
    <xdr:pic>
      <xdr:nvPicPr>
        <xdr:cNvPr id="31929" name="Picture 31928" descr="131.3" title="Infantry Bde (IBCT)">
          <a:extLst>
            <a:ext uri="{FF2B5EF4-FFF2-40B4-BE49-F238E27FC236}">
              <a16:creationId xmlns:a16="http://schemas.microsoft.com/office/drawing/2014/main" id="{00000000-0008-0000-0200-0000B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666750" y="30289500"/>
          <a:ext cx="566977" cy="6096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560881</xdr:colOff>
      <xdr:row>51</xdr:row>
      <xdr:rowOff>603556</xdr:rowOff>
    </xdr:to>
    <xdr:pic>
      <xdr:nvPicPr>
        <xdr:cNvPr id="31930" name="Picture 31929" descr="4.38" title="Weapons Co (IBCT)">
          <a:extLst>
            <a:ext uri="{FF2B5EF4-FFF2-40B4-BE49-F238E27FC236}">
              <a16:creationId xmlns:a16="http://schemas.microsoft.com/office/drawing/2014/main" id="{00000000-0008-0000-0200-0000B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666750" y="31210250"/>
          <a:ext cx="560881" cy="6035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560881</xdr:colOff>
      <xdr:row>52</xdr:row>
      <xdr:rowOff>487722</xdr:rowOff>
    </xdr:to>
    <xdr:pic>
      <xdr:nvPicPr>
        <xdr:cNvPr id="31931" name="Picture 31930" descr="32.71" title="Cav Sqdn (SBCT)">
          <a:extLst>
            <a:ext uri="{FF2B5EF4-FFF2-40B4-BE49-F238E27FC236}">
              <a16:creationId xmlns:a16="http://schemas.microsoft.com/office/drawing/2014/main" id="{00000000-0008-0000-0200-0000B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666750" y="32242125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560881</xdr:colOff>
      <xdr:row>53</xdr:row>
      <xdr:rowOff>469433</xdr:rowOff>
    </xdr:to>
    <xdr:pic>
      <xdr:nvPicPr>
        <xdr:cNvPr id="31932" name="Picture 31931" descr="9.29" title="Weapons Trp (SBCT)">
          <a:extLst>
            <a:ext uri="{FF2B5EF4-FFF2-40B4-BE49-F238E27FC236}">
              <a16:creationId xmlns:a16="http://schemas.microsoft.com/office/drawing/2014/main" id="{00000000-0008-0000-0200-0000B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666750" y="32940625"/>
          <a:ext cx="560881" cy="4694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560881</xdr:colOff>
      <xdr:row>54</xdr:row>
      <xdr:rowOff>463336</xdr:rowOff>
    </xdr:to>
    <xdr:pic>
      <xdr:nvPicPr>
        <xdr:cNvPr id="31933" name="Picture 31932" descr="3.45" title="FA Btry (SBCT) (M777)">
          <a:extLst>
            <a:ext uri="{FF2B5EF4-FFF2-40B4-BE49-F238E27FC236}">
              <a16:creationId xmlns:a16="http://schemas.microsoft.com/office/drawing/2014/main" id="{00000000-0008-0000-0200-0000B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666750" y="33639125"/>
          <a:ext cx="560881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560881</xdr:colOff>
      <xdr:row>55</xdr:row>
      <xdr:rowOff>481626</xdr:rowOff>
    </xdr:to>
    <xdr:pic>
      <xdr:nvPicPr>
        <xdr:cNvPr id="31934" name="Picture 31933" descr="248.99" title="Armored Bde (ABCT) (M1A2)">
          <a:extLst>
            <a:ext uri="{FF2B5EF4-FFF2-40B4-BE49-F238E27FC236}">
              <a16:creationId xmlns:a16="http://schemas.microsoft.com/office/drawing/2014/main" id="{00000000-0008-0000-0200-0000B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666750" y="34591625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560881</xdr:colOff>
      <xdr:row>56</xdr:row>
      <xdr:rowOff>475529</xdr:rowOff>
    </xdr:to>
    <xdr:pic>
      <xdr:nvPicPr>
        <xdr:cNvPr id="31935" name="Picture 31934" descr="8.95" title="Infantry Co (M2A2)">
          <a:extLst>
            <a:ext uri="{FF2B5EF4-FFF2-40B4-BE49-F238E27FC236}">
              <a16:creationId xmlns:a16="http://schemas.microsoft.com/office/drawing/2014/main" id="{00000000-0008-0000-0200-0000B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666750" y="3552825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560881</xdr:colOff>
      <xdr:row>57</xdr:row>
      <xdr:rowOff>493819</xdr:rowOff>
    </xdr:to>
    <xdr:pic>
      <xdr:nvPicPr>
        <xdr:cNvPr id="31936" name="Picture 31935" descr="28.13" title="FA Bn (M109A6)">
          <a:extLst>
            <a:ext uri="{FF2B5EF4-FFF2-40B4-BE49-F238E27FC236}">
              <a16:creationId xmlns:a16="http://schemas.microsoft.com/office/drawing/2014/main" id="{00000000-0008-0000-0200-0000C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666750" y="36210875"/>
          <a:ext cx="560881" cy="4938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554784</xdr:colOff>
      <xdr:row>58</xdr:row>
      <xdr:rowOff>493819</xdr:rowOff>
    </xdr:to>
    <xdr:pic>
      <xdr:nvPicPr>
        <xdr:cNvPr id="31937" name="Picture 31936" descr="5.87" title="FA Btry (M109A6)">
          <a:extLst>
            <a:ext uri="{FF2B5EF4-FFF2-40B4-BE49-F238E27FC236}">
              <a16:creationId xmlns:a16="http://schemas.microsoft.com/office/drawing/2014/main" id="{00000000-0008-0000-0200-0000C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666750" y="37084000"/>
          <a:ext cx="554784" cy="4938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560881</xdr:colOff>
      <xdr:row>59</xdr:row>
      <xdr:rowOff>481626</xdr:rowOff>
    </xdr:to>
    <xdr:pic>
      <xdr:nvPicPr>
        <xdr:cNvPr id="31938" name="Picture 31937" descr="7.95" title="EN A Co (ABCT)">
          <a:extLst>
            <a:ext uri="{FF2B5EF4-FFF2-40B4-BE49-F238E27FC236}">
              <a16:creationId xmlns:a16="http://schemas.microsoft.com/office/drawing/2014/main" id="{00000000-0008-0000-0200-0000C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666750" y="3781425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560881</xdr:colOff>
      <xdr:row>60</xdr:row>
      <xdr:rowOff>481626</xdr:rowOff>
    </xdr:to>
    <xdr:pic>
      <xdr:nvPicPr>
        <xdr:cNvPr id="31939" name="Picture 31938" descr="4.2" title="FA Btry (HIMARS)">
          <a:extLst>
            <a:ext uri="{FF2B5EF4-FFF2-40B4-BE49-F238E27FC236}">
              <a16:creationId xmlns:a16="http://schemas.microsoft.com/office/drawing/2014/main" id="{00000000-0008-0000-0200-0000C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666750" y="38528625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560881</xdr:colOff>
      <xdr:row>61</xdr:row>
      <xdr:rowOff>487722</xdr:rowOff>
    </xdr:to>
    <xdr:pic>
      <xdr:nvPicPr>
        <xdr:cNvPr id="31940" name="Picture 31939" descr="33.45" title="Infantry Bn (SBCT)">
          <a:extLst>
            <a:ext uri="{FF2B5EF4-FFF2-40B4-BE49-F238E27FC236}">
              <a16:creationId xmlns:a16="http://schemas.microsoft.com/office/drawing/2014/main" id="{00000000-0008-0000-0200-0000C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666750" y="39258875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560881</xdr:colOff>
      <xdr:row>62</xdr:row>
      <xdr:rowOff>475529</xdr:rowOff>
    </xdr:to>
    <xdr:pic>
      <xdr:nvPicPr>
        <xdr:cNvPr id="31941" name="Picture 31940" descr="8.57" title="Infantry Co (SBCT)">
          <a:extLst>
            <a:ext uri="{FF2B5EF4-FFF2-40B4-BE49-F238E27FC236}">
              <a16:creationId xmlns:a16="http://schemas.microsoft.com/office/drawing/2014/main" id="{00000000-0008-0000-0200-0000C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666750" y="3997325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560881</xdr:colOff>
      <xdr:row>63</xdr:row>
      <xdr:rowOff>475529</xdr:rowOff>
    </xdr:to>
    <xdr:pic>
      <xdr:nvPicPr>
        <xdr:cNvPr id="31942" name="Picture 31941" descr="7" title="Cav Trp (SBCT)">
          <a:extLst>
            <a:ext uri="{FF2B5EF4-FFF2-40B4-BE49-F238E27FC236}">
              <a16:creationId xmlns:a16="http://schemas.microsoft.com/office/drawing/2014/main" id="{00000000-0008-0000-0200-0000C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666750" y="40687625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560881</xdr:colOff>
      <xdr:row>64</xdr:row>
      <xdr:rowOff>475529</xdr:rowOff>
    </xdr:to>
    <xdr:pic>
      <xdr:nvPicPr>
        <xdr:cNvPr id="31943" name="Picture 31942" descr="7.8" title="Tank Co (M1A2)">
          <a:extLst>
            <a:ext uri="{FF2B5EF4-FFF2-40B4-BE49-F238E27FC236}">
              <a16:creationId xmlns:a16="http://schemas.microsoft.com/office/drawing/2014/main" id="{00000000-0008-0000-0200-0000C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666750" y="41449625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573074</xdr:colOff>
      <xdr:row>65</xdr:row>
      <xdr:rowOff>682811</xdr:rowOff>
    </xdr:to>
    <xdr:pic>
      <xdr:nvPicPr>
        <xdr:cNvPr id="31944" name="Picture 31943" descr="313.6" title="Armored Bde (GB)">
          <a:extLst>
            <a:ext uri="{FF2B5EF4-FFF2-40B4-BE49-F238E27FC236}">
              <a16:creationId xmlns:a16="http://schemas.microsoft.com/office/drawing/2014/main" id="{00000000-0008-0000-0200-0000C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666750" y="42179875"/>
          <a:ext cx="573074" cy="6828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560881</xdr:colOff>
      <xdr:row>66</xdr:row>
      <xdr:rowOff>731583</xdr:rowOff>
    </xdr:to>
    <xdr:pic>
      <xdr:nvPicPr>
        <xdr:cNvPr id="31945" name="Picture 31944" descr="19.1" title="Recon Squadron (GB)">
          <a:extLst>
            <a:ext uri="{FF2B5EF4-FFF2-40B4-BE49-F238E27FC236}">
              <a16:creationId xmlns:a16="http://schemas.microsoft.com/office/drawing/2014/main" id="{00000000-0008-0000-0200-0000C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666750" y="42926000"/>
          <a:ext cx="560881" cy="73158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560881</xdr:colOff>
      <xdr:row>67</xdr:row>
      <xdr:rowOff>707197</xdr:rowOff>
    </xdr:to>
    <xdr:pic>
      <xdr:nvPicPr>
        <xdr:cNvPr id="31946" name="Picture 31945" descr="45.97" title="Mech Inf Bn (GB)">
          <a:extLst>
            <a:ext uri="{FF2B5EF4-FFF2-40B4-BE49-F238E27FC236}">
              <a16:creationId xmlns:a16="http://schemas.microsoft.com/office/drawing/2014/main" id="{00000000-0008-0000-0200-0000C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666750" y="43719750"/>
          <a:ext cx="560881" cy="7071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560881</xdr:colOff>
      <xdr:row>68</xdr:row>
      <xdr:rowOff>707197</xdr:rowOff>
    </xdr:to>
    <xdr:pic>
      <xdr:nvPicPr>
        <xdr:cNvPr id="31947" name="Picture 31946" descr="41.25" title="Armored Inf Bn (GB)">
          <a:extLst>
            <a:ext uri="{FF2B5EF4-FFF2-40B4-BE49-F238E27FC236}">
              <a16:creationId xmlns:a16="http://schemas.microsoft.com/office/drawing/2014/main" id="{00000000-0008-0000-0200-0000C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666750" y="44513500"/>
          <a:ext cx="560881" cy="7071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560881</xdr:colOff>
      <xdr:row>69</xdr:row>
      <xdr:rowOff>713294</xdr:rowOff>
    </xdr:to>
    <xdr:pic>
      <xdr:nvPicPr>
        <xdr:cNvPr id="31948" name="Picture 31947" descr="19.09" title="Light Inf Bn (GB)">
          <a:extLst>
            <a:ext uri="{FF2B5EF4-FFF2-40B4-BE49-F238E27FC236}">
              <a16:creationId xmlns:a16="http://schemas.microsoft.com/office/drawing/2014/main" id="{00000000-0008-0000-0200-0000C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666750" y="45307250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560881</xdr:colOff>
      <xdr:row>70</xdr:row>
      <xdr:rowOff>731583</xdr:rowOff>
    </xdr:to>
    <xdr:pic>
      <xdr:nvPicPr>
        <xdr:cNvPr id="31949" name="Picture 31948" descr="41.91" title="Tank Regt (GB)">
          <a:extLst>
            <a:ext uri="{FF2B5EF4-FFF2-40B4-BE49-F238E27FC236}">
              <a16:creationId xmlns:a16="http://schemas.microsoft.com/office/drawing/2014/main" id="{00000000-0008-0000-0200-0000C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666750" y="46243875"/>
          <a:ext cx="560881" cy="73158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554784</xdr:colOff>
      <xdr:row>71</xdr:row>
      <xdr:rowOff>719390</xdr:rowOff>
    </xdr:to>
    <xdr:pic>
      <xdr:nvPicPr>
        <xdr:cNvPr id="31950" name="Picture 31949" descr="26.54" title="EN Regt (GB)">
          <a:extLst>
            <a:ext uri="{FF2B5EF4-FFF2-40B4-BE49-F238E27FC236}">
              <a16:creationId xmlns:a16="http://schemas.microsoft.com/office/drawing/2014/main" id="{00000000-0008-0000-0200-0000C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666750" y="47180500"/>
          <a:ext cx="554784" cy="7193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554784</xdr:colOff>
      <xdr:row>72</xdr:row>
      <xdr:rowOff>725487</xdr:rowOff>
    </xdr:to>
    <xdr:pic>
      <xdr:nvPicPr>
        <xdr:cNvPr id="31951" name="Picture 31950" descr="5.23" title="ADA Btry (GB)">
          <a:extLst>
            <a:ext uri="{FF2B5EF4-FFF2-40B4-BE49-F238E27FC236}">
              <a16:creationId xmlns:a16="http://schemas.microsoft.com/office/drawing/2014/main" id="{00000000-0008-0000-0200-0000C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666750" y="48244125"/>
          <a:ext cx="554784" cy="7254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560881</xdr:colOff>
      <xdr:row>73</xdr:row>
      <xdr:rowOff>707197</xdr:rowOff>
    </xdr:to>
    <xdr:pic>
      <xdr:nvPicPr>
        <xdr:cNvPr id="31952" name="Picture 31951" descr="184.34" title="Mechanized Bde (TR)">
          <a:extLst>
            <a:ext uri="{FF2B5EF4-FFF2-40B4-BE49-F238E27FC236}">
              <a16:creationId xmlns:a16="http://schemas.microsoft.com/office/drawing/2014/main" id="{00000000-0008-0000-0200-0000D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xfrm>
          <a:off x="666750" y="49228375"/>
          <a:ext cx="560881" cy="7071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566977</xdr:colOff>
      <xdr:row>74</xdr:row>
      <xdr:rowOff>713294</xdr:rowOff>
    </xdr:to>
    <xdr:pic>
      <xdr:nvPicPr>
        <xdr:cNvPr id="31953" name="Picture 31952" descr="38.81" title="Mech Inf Bn (TR) (AIFV)">
          <a:extLst>
            <a:ext uri="{FF2B5EF4-FFF2-40B4-BE49-F238E27FC236}">
              <a16:creationId xmlns:a16="http://schemas.microsoft.com/office/drawing/2014/main" id="{00000000-0008-0000-0200-0000D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666750" y="50212625"/>
          <a:ext cx="566977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554784</xdr:colOff>
      <xdr:row>75</xdr:row>
      <xdr:rowOff>713294</xdr:rowOff>
    </xdr:to>
    <xdr:pic>
      <xdr:nvPicPr>
        <xdr:cNvPr id="31954" name="Picture 31953" descr="37.95" title="Tank Bn (TR) (Leo 2A4)">
          <a:extLst>
            <a:ext uri="{FF2B5EF4-FFF2-40B4-BE49-F238E27FC236}">
              <a16:creationId xmlns:a16="http://schemas.microsoft.com/office/drawing/2014/main" id="{00000000-0008-0000-0200-0000D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666750" y="51196875"/>
          <a:ext cx="554784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560881</xdr:colOff>
      <xdr:row>76</xdr:row>
      <xdr:rowOff>713294</xdr:rowOff>
    </xdr:to>
    <xdr:pic>
      <xdr:nvPicPr>
        <xdr:cNvPr id="31955" name="Picture 31954" descr="28.13" title="FA Bn (TR) (155SP)">
          <a:extLst>
            <a:ext uri="{FF2B5EF4-FFF2-40B4-BE49-F238E27FC236}">
              <a16:creationId xmlns:a16="http://schemas.microsoft.com/office/drawing/2014/main" id="{00000000-0008-0000-0200-0000D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xfrm>
          <a:off x="666750" y="5214937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560881</xdr:colOff>
      <xdr:row>77</xdr:row>
      <xdr:rowOff>707197</xdr:rowOff>
    </xdr:to>
    <xdr:pic>
      <xdr:nvPicPr>
        <xdr:cNvPr id="31956" name="Picture 31955" descr="100.3477" title="Inf Bde (AZ)">
          <a:extLst>
            <a:ext uri="{FF2B5EF4-FFF2-40B4-BE49-F238E27FC236}">
              <a16:creationId xmlns:a16="http://schemas.microsoft.com/office/drawing/2014/main" id="{00000000-0008-0000-0200-0000D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xfrm>
          <a:off x="666750" y="53117750"/>
          <a:ext cx="560881" cy="7071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560881</xdr:colOff>
      <xdr:row>78</xdr:row>
      <xdr:rowOff>713294</xdr:rowOff>
    </xdr:to>
    <xdr:pic>
      <xdr:nvPicPr>
        <xdr:cNvPr id="31957" name="Picture 31956" descr="55.3968" title="Inf Bn (AZ)">
          <a:extLst>
            <a:ext uri="{FF2B5EF4-FFF2-40B4-BE49-F238E27FC236}">
              <a16:creationId xmlns:a16="http://schemas.microsoft.com/office/drawing/2014/main" id="{00000000-0008-0000-0200-0000D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xfrm>
          <a:off x="666750" y="54102000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560881</xdr:colOff>
      <xdr:row>79</xdr:row>
      <xdr:rowOff>719390</xdr:rowOff>
    </xdr:to>
    <xdr:pic>
      <xdr:nvPicPr>
        <xdr:cNvPr id="31958" name="Picture 31957" descr="9.4272" title="Inf Co (AZ)">
          <a:extLst>
            <a:ext uri="{FF2B5EF4-FFF2-40B4-BE49-F238E27FC236}">
              <a16:creationId xmlns:a16="http://schemas.microsoft.com/office/drawing/2014/main" id="{00000000-0008-0000-0200-0000D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xfrm>
          <a:off x="666750" y="55102125"/>
          <a:ext cx="560881" cy="7193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560881</xdr:colOff>
      <xdr:row>80</xdr:row>
      <xdr:rowOff>713294</xdr:rowOff>
    </xdr:to>
    <xdr:pic>
      <xdr:nvPicPr>
        <xdr:cNvPr id="31959" name="Picture 31958" descr="25.47" title="Tank Bn (AZ) (T72)">
          <a:extLst>
            <a:ext uri="{FF2B5EF4-FFF2-40B4-BE49-F238E27FC236}">
              <a16:creationId xmlns:a16="http://schemas.microsoft.com/office/drawing/2014/main" id="{00000000-0008-0000-0200-0000D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xfrm>
          <a:off x="666750" y="5608637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554784</xdr:colOff>
      <xdr:row>81</xdr:row>
      <xdr:rowOff>719390</xdr:rowOff>
    </xdr:to>
    <xdr:pic>
      <xdr:nvPicPr>
        <xdr:cNvPr id="31960" name="Picture 31959" descr="5.22" title="Tank Co (AZ) (T72)">
          <a:extLst>
            <a:ext uri="{FF2B5EF4-FFF2-40B4-BE49-F238E27FC236}">
              <a16:creationId xmlns:a16="http://schemas.microsoft.com/office/drawing/2014/main" id="{00000000-0008-0000-0200-0000D8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666750" y="57086500"/>
          <a:ext cx="554784" cy="7193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554784</xdr:colOff>
      <xdr:row>82</xdr:row>
      <xdr:rowOff>719390</xdr:rowOff>
    </xdr:to>
    <xdr:pic>
      <xdr:nvPicPr>
        <xdr:cNvPr id="31961" name="Picture 31960" descr="2.032" title="FA Btry (D-30)">
          <a:extLst>
            <a:ext uri="{FF2B5EF4-FFF2-40B4-BE49-F238E27FC236}">
              <a16:creationId xmlns:a16="http://schemas.microsoft.com/office/drawing/2014/main" id="{00000000-0008-0000-0200-0000D9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666750" y="58086625"/>
          <a:ext cx="554784" cy="7193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566977</xdr:colOff>
      <xdr:row>83</xdr:row>
      <xdr:rowOff>707197</xdr:rowOff>
    </xdr:to>
    <xdr:pic>
      <xdr:nvPicPr>
        <xdr:cNvPr id="31962" name="Picture 31961" descr="64.8499" title="Mech Inf Bde (AZ)">
          <a:extLst>
            <a:ext uri="{FF2B5EF4-FFF2-40B4-BE49-F238E27FC236}">
              <a16:creationId xmlns:a16="http://schemas.microsoft.com/office/drawing/2014/main" id="{00000000-0008-0000-0200-0000DA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xfrm>
          <a:off x="666750" y="59039125"/>
          <a:ext cx="566977" cy="7071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566977</xdr:colOff>
      <xdr:row>84</xdr:row>
      <xdr:rowOff>774259</xdr:rowOff>
    </xdr:to>
    <xdr:pic>
      <xdr:nvPicPr>
        <xdr:cNvPr id="31963" name="Picture 31962" descr="124.8861" title="Mech Inf Bde (AZ) (BMP-2/Leo I)">
          <a:extLst>
            <a:ext uri="{FF2B5EF4-FFF2-40B4-BE49-F238E27FC236}">
              <a16:creationId xmlns:a16="http://schemas.microsoft.com/office/drawing/2014/main" id="{00000000-0008-0000-0200-0000D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666750" y="59817000"/>
          <a:ext cx="566977" cy="77425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566977</xdr:colOff>
      <xdr:row>85</xdr:row>
      <xdr:rowOff>719390</xdr:rowOff>
    </xdr:to>
    <xdr:pic>
      <xdr:nvPicPr>
        <xdr:cNvPr id="31964" name="Picture 31963" descr="36.3" title="Mech Inf Bn (AZ) BMP-2)">
          <a:extLst>
            <a:ext uri="{FF2B5EF4-FFF2-40B4-BE49-F238E27FC236}">
              <a16:creationId xmlns:a16="http://schemas.microsoft.com/office/drawing/2014/main" id="{00000000-0008-0000-0200-0000DC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xfrm>
          <a:off x="666750" y="60801250"/>
          <a:ext cx="566977" cy="7193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566977</xdr:colOff>
      <xdr:row>86</xdr:row>
      <xdr:rowOff>719390</xdr:rowOff>
    </xdr:to>
    <xdr:pic>
      <xdr:nvPicPr>
        <xdr:cNvPr id="31965" name="Picture 31964" descr="7.1" title="Mech Inf Co (AZ) (BMP-2)">
          <a:extLst>
            <a:ext uri="{FF2B5EF4-FFF2-40B4-BE49-F238E27FC236}">
              <a16:creationId xmlns:a16="http://schemas.microsoft.com/office/drawing/2014/main" id="{00000000-0008-0000-0200-0000DD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666750" y="61769625"/>
          <a:ext cx="566977" cy="7193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566977</xdr:colOff>
      <xdr:row>87</xdr:row>
      <xdr:rowOff>707197</xdr:rowOff>
    </xdr:to>
    <xdr:pic>
      <xdr:nvPicPr>
        <xdr:cNvPr id="31966" name="Picture 31965" descr="74.2049" title="Tank Bde (AZ) (Leo I)">
          <a:extLst>
            <a:ext uri="{FF2B5EF4-FFF2-40B4-BE49-F238E27FC236}">
              <a16:creationId xmlns:a16="http://schemas.microsoft.com/office/drawing/2014/main" id="{00000000-0008-0000-0200-0000DE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666750" y="62833250"/>
          <a:ext cx="566977" cy="7071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554784</xdr:colOff>
      <xdr:row>88</xdr:row>
      <xdr:rowOff>713294</xdr:rowOff>
    </xdr:to>
    <xdr:pic>
      <xdr:nvPicPr>
        <xdr:cNvPr id="31967" name="Picture 31966" descr="34.78" title="Tank Bn (AZ) (Leo I)">
          <a:extLst>
            <a:ext uri="{FF2B5EF4-FFF2-40B4-BE49-F238E27FC236}">
              <a16:creationId xmlns:a16="http://schemas.microsoft.com/office/drawing/2014/main" id="{00000000-0008-0000-0200-0000DF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666750" y="63817500"/>
          <a:ext cx="554784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560881</xdr:colOff>
      <xdr:row>89</xdr:row>
      <xdr:rowOff>713294</xdr:rowOff>
    </xdr:to>
    <xdr:pic>
      <xdr:nvPicPr>
        <xdr:cNvPr id="31968" name="Picture 31967" descr="6.7" title="Tank Co (AZ) (Leo I)">
          <a:extLst>
            <a:ext uri="{FF2B5EF4-FFF2-40B4-BE49-F238E27FC236}">
              <a16:creationId xmlns:a16="http://schemas.microsoft.com/office/drawing/2014/main" id="{00000000-0008-0000-0200-0000E0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666750" y="6481762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566977</xdr:colOff>
      <xdr:row>90</xdr:row>
      <xdr:rowOff>701101</xdr:rowOff>
    </xdr:to>
    <xdr:pic>
      <xdr:nvPicPr>
        <xdr:cNvPr id="31969" name="Picture 31968" descr="129.5406" title="FA SP Bde (AZ)">
          <a:extLst>
            <a:ext uri="{FF2B5EF4-FFF2-40B4-BE49-F238E27FC236}">
              <a16:creationId xmlns:a16="http://schemas.microsoft.com/office/drawing/2014/main" id="{00000000-0008-0000-0200-0000E1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666750" y="65786000"/>
          <a:ext cx="566977" cy="7011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560881</xdr:colOff>
      <xdr:row>91</xdr:row>
      <xdr:rowOff>713294</xdr:rowOff>
    </xdr:to>
    <xdr:pic>
      <xdr:nvPicPr>
        <xdr:cNvPr id="31970" name="Picture 31969" descr="4.0992" title="FA SP Btry (AZ)">
          <a:extLst>
            <a:ext uri="{FF2B5EF4-FFF2-40B4-BE49-F238E27FC236}">
              <a16:creationId xmlns:a16="http://schemas.microsoft.com/office/drawing/2014/main" id="{00000000-0008-0000-0200-0000E2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666750" y="6684962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566977</xdr:colOff>
      <xdr:row>92</xdr:row>
      <xdr:rowOff>713294</xdr:rowOff>
    </xdr:to>
    <xdr:pic>
      <xdr:nvPicPr>
        <xdr:cNvPr id="31971" name="Picture 31970" descr="20.7795" title="FA SP Bn (AZ)">
          <a:extLst>
            <a:ext uri="{FF2B5EF4-FFF2-40B4-BE49-F238E27FC236}">
              <a16:creationId xmlns:a16="http://schemas.microsoft.com/office/drawing/2014/main" id="{00000000-0008-0000-0200-0000E3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666750" y="67833875"/>
          <a:ext cx="566977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554784</xdr:colOff>
      <xdr:row>93</xdr:row>
      <xdr:rowOff>713294</xdr:rowOff>
    </xdr:to>
    <xdr:pic>
      <xdr:nvPicPr>
        <xdr:cNvPr id="31972" name="Picture 31971" descr="14.58" title="ADA Bn (AZ)">
          <a:extLst>
            <a:ext uri="{FF2B5EF4-FFF2-40B4-BE49-F238E27FC236}">
              <a16:creationId xmlns:a16="http://schemas.microsoft.com/office/drawing/2014/main" id="{00000000-0008-0000-0200-0000E4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666750" y="68818125"/>
          <a:ext cx="554784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560881</xdr:colOff>
      <xdr:row>94</xdr:row>
      <xdr:rowOff>713294</xdr:rowOff>
    </xdr:to>
    <xdr:pic>
      <xdr:nvPicPr>
        <xdr:cNvPr id="31973" name="Picture 31972" descr="6.363" title="ADA Btry (AZ)">
          <a:extLst>
            <a:ext uri="{FF2B5EF4-FFF2-40B4-BE49-F238E27FC236}">
              <a16:creationId xmlns:a16="http://schemas.microsoft.com/office/drawing/2014/main" id="{00000000-0008-0000-0200-0000E5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/>
        <a:stretch>
          <a:fillRect/>
        </a:stretch>
      </xdr:blipFill>
      <xdr:spPr>
        <a:xfrm>
          <a:off x="666750" y="6996112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560881</xdr:colOff>
      <xdr:row>95</xdr:row>
      <xdr:rowOff>713294</xdr:rowOff>
    </xdr:to>
    <xdr:pic>
      <xdr:nvPicPr>
        <xdr:cNvPr id="31974" name="Picture 31973" descr="33.42" title="FA Regt (GB)">
          <a:extLst>
            <a:ext uri="{FF2B5EF4-FFF2-40B4-BE49-F238E27FC236}">
              <a16:creationId xmlns:a16="http://schemas.microsoft.com/office/drawing/2014/main" id="{00000000-0008-0000-0200-0000E6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666750" y="71024750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560881</xdr:colOff>
      <xdr:row>96</xdr:row>
      <xdr:rowOff>475529</xdr:rowOff>
    </xdr:to>
    <xdr:pic>
      <xdr:nvPicPr>
        <xdr:cNvPr id="31975" name="Picture 31974" descr="208.61" title="Infantry Bde (SBCT)">
          <a:extLst>
            <a:ext uri="{FF2B5EF4-FFF2-40B4-BE49-F238E27FC236}">
              <a16:creationId xmlns:a16="http://schemas.microsoft.com/office/drawing/2014/main" id="{00000000-0008-0000-0200-0000E7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/>
        <a:stretch>
          <a:fillRect/>
        </a:stretch>
      </xdr:blipFill>
      <xdr:spPr>
        <a:xfrm>
          <a:off x="666750" y="71993125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2</xdr:col>
      <xdr:colOff>2746375</xdr:colOff>
      <xdr:row>3</xdr:row>
      <xdr:rowOff>1111250</xdr:rowOff>
    </xdr:from>
    <xdr:to>
      <xdr:col>2</xdr:col>
      <xdr:colOff>3307256</xdr:colOff>
      <xdr:row>3</xdr:row>
      <xdr:rowOff>1592876</xdr:rowOff>
    </xdr:to>
    <xdr:pic>
      <xdr:nvPicPr>
        <xdr:cNvPr id="8" name="Picture 7" descr="7.95" title="EN A Co (ABCT)">
          <a:extLst>
            <a:ext uri="{FF2B5EF4-FFF2-40B4-BE49-F238E27FC236}">
              <a16:creationId xmlns:a16="http://schemas.microsoft.com/office/drawing/2014/main" id="{350B93BE-C04B-7299-AEDD-9DEA052DC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4270375" y="168275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1111250</xdr:colOff>
      <xdr:row>3</xdr:row>
      <xdr:rowOff>714375</xdr:rowOff>
    </xdr:from>
    <xdr:to>
      <xdr:col>2</xdr:col>
      <xdr:colOff>1672131</xdr:colOff>
      <xdr:row>3</xdr:row>
      <xdr:rowOff>1189904</xdr:rowOff>
    </xdr:to>
    <xdr:pic>
      <xdr:nvPicPr>
        <xdr:cNvPr id="10" name="Picture 9" descr="7.8" title="Tank Co (M1A2)">
          <a:extLst>
            <a:ext uri="{FF2B5EF4-FFF2-40B4-BE49-F238E27FC236}">
              <a16:creationId xmlns:a16="http://schemas.microsoft.com/office/drawing/2014/main" id="{5F7A3493-3F23-EEA6-E41E-2E8985FC3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2635250" y="1285875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2</xdr:col>
      <xdr:colOff>2063750</xdr:colOff>
      <xdr:row>3</xdr:row>
      <xdr:rowOff>254000</xdr:rowOff>
    </xdr:from>
    <xdr:to>
      <xdr:col>2</xdr:col>
      <xdr:colOff>2624631</xdr:colOff>
      <xdr:row>3</xdr:row>
      <xdr:rowOff>729529</xdr:rowOff>
    </xdr:to>
    <xdr:pic>
      <xdr:nvPicPr>
        <xdr:cNvPr id="11" name="Picture 10" descr="8.95" title="Infantry Co (M2A2)">
          <a:extLst>
            <a:ext uri="{FF2B5EF4-FFF2-40B4-BE49-F238E27FC236}">
              <a16:creationId xmlns:a16="http://schemas.microsoft.com/office/drawing/2014/main" id="{489909B7-B6E4-A513-4C73-CEA81C32E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587750" y="82550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8</xdr:col>
      <xdr:colOff>809625</xdr:colOff>
      <xdr:row>3</xdr:row>
      <xdr:rowOff>476250</xdr:rowOff>
    </xdr:from>
    <xdr:to>
      <xdr:col>8</xdr:col>
      <xdr:colOff>1352216</xdr:colOff>
      <xdr:row>3</xdr:row>
      <xdr:rowOff>1372440</xdr:rowOff>
    </xdr:to>
    <xdr:pic>
      <xdr:nvPicPr>
        <xdr:cNvPr id="12" name="Picture 11" descr="6.04" title="Tank Co (T-90)">
          <a:extLst>
            <a:ext uri="{FF2B5EF4-FFF2-40B4-BE49-F238E27FC236}">
              <a16:creationId xmlns:a16="http://schemas.microsoft.com/office/drawing/2014/main" id="{6295FB4E-45BF-9AEF-87DD-DFA3B37F2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747375" y="104775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8</xdr:col>
      <xdr:colOff>2651125</xdr:colOff>
      <xdr:row>3</xdr:row>
      <xdr:rowOff>444500</xdr:rowOff>
    </xdr:from>
    <xdr:to>
      <xdr:col>8</xdr:col>
      <xdr:colOff>3193716</xdr:colOff>
      <xdr:row>3</xdr:row>
      <xdr:rowOff>1334593</xdr:rowOff>
    </xdr:to>
    <xdr:pic>
      <xdr:nvPicPr>
        <xdr:cNvPr id="13" name="Picture 12" descr="8.3" title="Infantry Co (BMP-3)">
          <a:extLst>
            <a:ext uri="{FF2B5EF4-FFF2-40B4-BE49-F238E27FC236}">
              <a16:creationId xmlns:a16="http://schemas.microsoft.com/office/drawing/2014/main" id="{307D999E-3FA0-C11C-B2E3-95D0596E8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588875" y="1016000"/>
          <a:ext cx="542591" cy="8900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78921</xdr:colOff>
      <xdr:row>2</xdr:row>
      <xdr:rowOff>293915</xdr:rowOff>
    </xdr:from>
    <xdr:to>
      <xdr:col>7</xdr:col>
      <xdr:colOff>563333</xdr:colOff>
      <xdr:row>3</xdr:row>
      <xdr:rowOff>1048839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693058</xdr:colOff>
      <xdr:row>16</xdr:row>
      <xdr:rowOff>27209</xdr:rowOff>
    </xdr:from>
    <xdr:to>
      <xdr:col>10</xdr:col>
      <xdr:colOff>378399</xdr:colOff>
      <xdr:row>21</xdr:row>
      <xdr:rowOff>97512</xdr:rowOff>
    </xdr:to>
    <xdr:pic>
      <xdr:nvPicPr>
        <xdr:cNvPr id="3" name="Picture 2" descr="274.8" title="Infantry Bde (BTR-80/T-72A)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13165" y="5129888"/>
          <a:ext cx="542591" cy="1036410"/>
        </a:xfrm>
        <a:prstGeom prst="rect">
          <a:avLst/>
        </a:prstGeom>
      </xdr:spPr>
    </xdr:pic>
    <xdr:clientData/>
  </xdr:twoCellAnchor>
  <xdr:twoCellAnchor editAs="oneCell">
    <xdr:from>
      <xdr:col>2</xdr:col>
      <xdr:colOff>3280412</xdr:colOff>
      <xdr:row>16</xdr:row>
      <xdr:rowOff>59872</xdr:rowOff>
    </xdr:from>
    <xdr:to>
      <xdr:col>2</xdr:col>
      <xdr:colOff>3841293</xdr:colOff>
      <xdr:row>18</xdr:row>
      <xdr:rowOff>163872</xdr:rowOff>
    </xdr:to>
    <xdr:pic>
      <xdr:nvPicPr>
        <xdr:cNvPr id="5" name="Picture 4" descr="20.51" title="FA Bn (M777)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4412" y="5155747"/>
          <a:ext cx="560881" cy="498607"/>
        </a:xfrm>
        <a:prstGeom prst="rect">
          <a:avLst/>
        </a:prstGeom>
      </xdr:spPr>
    </xdr:pic>
    <xdr:clientData/>
  </xdr:twoCellAnchor>
  <xdr:twoCellAnchor editAs="oneCell">
    <xdr:from>
      <xdr:col>2</xdr:col>
      <xdr:colOff>1279254</xdr:colOff>
      <xdr:row>16</xdr:row>
      <xdr:rowOff>81643</xdr:rowOff>
    </xdr:from>
    <xdr:to>
      <xdr:col>2</xdr:col>
      <xdr:colOff>1840135</xdr:colOff>
      <xdr:row>19</xdr:row>
      <xdr:rowOff>586</xdr:rowOff>
    </xdr:to>
    <xdr:pic>
      <xdr:nvPicPr>
        <xdr:cNvPr id="6" name="Picture 5" descr="32.71" title="Cav Sqdn (SBCT)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254" y="5177518"/>
          <a:ext cx="560881" cy="504050"/>
        </a:xfrm>
        <a:prstGeom prst="rect">
          <a:avLst/>
        </a:prstGeom>
      </xdr:spPr>
    </xdr:pic>
    <xdr:clientData/>
  </xdr:twoCellAnchor>
  <xdr:twoCellAnchor editAs="oneCell">
    <xdr:from>
      <xdr:col>2</xdr:col>
      <xdr:colOff>2609851</xdr:colOff>
      <xdr:row>16</xdr:row>
      <xdr:rowOff>90714</xdr:rowOff>
    </xdr:from>
    <xdr:to>
      <xdr:col>2</xdr:col>
      <xdr:colOff>3170732</xdr:colOff>
      <xdr:row>19</xdr:row>
      <xdr:rowOff>893</xdr:rowOff>
    </xdr:to>
    <xdr:pic>
      <xdr:nvPicPr>
        <xdr:cNvPr id="7" name="Picture 6" descr="9.29" title="Weapons Trp (SBCT)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33851" y="5186589"/>
          <a:ext cx="560881" cy="485761"/>
        </a:xfrm>
        <a:prstGeom prst="rect">
          <a:avLst/>
        </a:prstGeom>
      </xdr:spPr>
    </xdr:pic>
    <xdr:clientData/>
  </xdr:twoCellAnchor>
  <xdr:twoCellAnchor editAs="oneCell">
    <xdr:from>
      <xdr:col>2</xdr:col>
      <xdr:colOff>3915048</xdr:colOff>
      <xdr:row>16</xdr:row>
      <xdr:rowOff>85271</xdr:rowOff>
    </xdr:from>
    <xdr:to>
      <xdr:col>2</xdr:col>
      <xdr:colOff>4477508</xdr:colOff>
      <xdr:row>18</xdr:row>
      <xdr:rowOff>164885</xdr:rowOff>
    </xdr:to>
    <xdr:pic>
      <xdr:nvPicPr>
        <xdr:cNvPr id="8" name="Picture 7" descr="3.45" title="FA Btry (SBCT) (M777)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9048" y="5181146"/>
          <a:ext cx="562460" cy="474221"/>
        </a:xfrm>
        <a:prstGeom prst="rect">
          <a:avLst/>
        </a:prstGeom>
      </xdr:spPr>
    </xdr:pic>
    <xdr:clientData/>
  </xdr:twoCellAnchor>
  <xdr:twoCellAnchor editAs="oneCell">
    <xdr:from>
      <xdr:col>1</xdr:col>
      <xdr:colOff>63681</xdr:colOff>
      <xdr:row>16</xdr:row>
      <xdr:rowOff>76199</xdr:rowOff>
    </xdr:from>
    <xdr:to>
      <xdr:col>1</xdr:col>
      <xdr:colOff>605512</xdr:colOff>
      <xdr:row>18</xdr:row>
      <xdr:rowOff>168006</xdr:rowOff>
    </xdr:to>
    <xdr:pic>
      <xdr:nvPicPr>
        <xdr:cNvPr id="9" name="Picture 8" descr="208.61" title="Infantry Bde (SBCT)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0431" y="5172074"/>
          <a:ext cx="541831" cy="486414"/>
        </a:xfrm>
        <a:prstGeom prst="rect">
          <a:avLst/>
        </a:prstGeom>
      </xdr:spPr>
    </xdr:pic>
    <xdr:clientData/>
  </xdr:twoCellAnchor>
  <xdr:twoCellAnchor editAs="oneCell">
    <xdr:from>
      <xdr:col>1</xdr:col>
      <xdr:colOff>750024</xdr:colOff>
      <xdr:row>16</xdr:row>
      <xdr:rowOff>58057</xdr:rowOff>
    </xdr:from>
    <xdr:to>
      <xdr:col>2</xdr:col>
      <xdr:colOff>434605</xdr:colOff>
      <xdr:row>18</xdr:row>
      <xdr:rowOff>162057</xdr:rowOff>
    </xdr:to>
    <xdr:pic>
      <xdr:nvPicPr>
        <xdr:cNvPr id="10" name="Picture 9" descr="33.45" title="Infantry Bn (SBCT)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16774" y="5153932"/>
          <a:ext cx="541831" cy="498607"/>
        </a:xfrm>
        <a:prstGeom prst="rect">
          <a:avLst/>
        </a:prstGeom>
      </xdr:spPr>
    </xdr:pic>
    <xdr:clientData/>
  </xdr:twoCellAnchor>
  <xdr:twoCellAnchor editAs="oneCell">
    <xdr:from>
      <xdr:col>2</xdr:col>
      <xdr:colOff>576037</xdr:colOff>
      <xdr:row>16</xdr:row>
      <xdr:rowOff>82731</xdr:rowOff>
    </xdr:from>
    <xdr:to>
      <xdr:col>2</xdr:col>
      <xdr:colOff>1136918</xdr:colOff>
      <xdr:row>18</xdr:row>
      <xdr:rowOff>179981</xdr:rowOff>
    </xdr:to>
    <xdr:pic>
      <xdr:nvPicPr>
        <xdr:cNvPr id="11" name="Picture 10" descr="8.57" title="Infantry Co (SBCT)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0037" y="5178606"/>
          <a:ext cx="560881" cy="491857"/>
        </a:xfrm>
        <a:prstGeom prst="rect">
          <a:avLst/>
        </a:prstGeom>
      </xdr:spPr>
    </xdr:pic>
    <xdr:clientData/>
  </xdr:twoCellAnchor>
  <xdr:twoCellAnchor editAs="oneCell">
    <xdr:from>
      <xdr:col>2</xdr:col>
      <xdr:colOff>1950539</xdr:colOff>
      <xdr:row>16</xdr:row>
      <xdr:rowOff>101600</xdr:rowOff>
    </xdr:from>
    <xdr:to>
      <xdr:col>2</xdr:col>
      <xdr:colOff>2511420</xdr:colOff>
      <xdr:row>19</xdr:row>
      <xdr:rowOff>8350</xdr:rowOff>
    </xdr:to>
    <xdr:pic>
      <xdr:nvPicPr>
        <xdr:cNvPr id="12" name="Picture 11" descr="7" title="Cav Trp (SBCT)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474539" y="5197475"/>
          <a:ext cx="560881" cy="491857"/>
        </a:xfrm>
        <a:prstGeom prst="rect">
          <a:avLst/>
        </a:prstGeom>
      </xdr:spPr>
    </xdr:pic>
    <xdr:clientData/>
  </xdr:twoCellAnchor>
  <xdr:twoCellAnchor editAs="oneCell">
    <xdr:from>
      <xdr:col>2</xdr:col>
      <xdr:colOff>1908811</xdr:colOff>
      <xdr:row>19</xdr:row>
      <xdr:rowOff>106679</xdr:rowOff>
    </xdr:from>
    <xdr:to>
      <xdr:col>2</xdr:col>
      <xdr:colOff>2469692</xdr:colOff>
      <xdr:row>22</xdr:row>
      <xdr:rowOff>69713</xdr:rowOff>
    </xdr:to>
    <xdr:pic>
      <xdr:nvPicPr>
        <xdr:cNvPr id="13" name="Picture 12" descr="39.88" title="Cav Sqdn (M1A2)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432811" y="5774054"/>
          <a:ext cx="560881" cy="534534"/>
        </a:xfrm>
        <a:prstGeom prst="rect">
          <a:avLst/>
        </a:prstGeom>
      </xdr:spPr>
    </xdr:pic>
    <xdr:clientData/>
  </xdr:twoCellAnchor>
  <xdr:twoCellAnchor editAs="oneCell">
    <xdr:from>
      <xdr:col>2</xdr:col>
      <xdr:colOff>2585540</xdr:colOff>
      <xdr:row>19</xdr:row>
      <xdr:rowOff>110671</xdr:rowOff>
    </xdr:from>
    <xdr:to>
      <xdr:col>2</xdr:col>
      <xdr:colOff>3140324</xdr:colOff>
      <xdr:row>22</xdr:row>
      <xdr:rowOff>73705</xdr:rowOff>
    </xdr:to>
    <xdr:pic>
      <xdr:nvPicPr>
        <xdr:cNvPr id="14" name="Picture 13" descr="8.55" title="Cav Trp (ABCT)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09540" y="5778046"/>
          <a:ext cx="554784" cy="534534"/>
        </a:xfrm>
        <a:prstGeom prst="rect">
          <a:avLst/>
        </a:prstGeom>
      </xdr:spPr>
    </xdr:pic>
    <xdr:clientData/>
  </xdr:twoCellAnchor>
  <xdr:twoCellAnchor editAs="oneCell">
    <xdr:from>
      <xdr:col>1</xdr:col>
      <xdr:colOff>784132</xdr:colOff>
      <xdr:row>19</xdr:row>
      <xdr:rowOff>92526</xdr:rowOff>
    </xdr:from>
    <xdr:to>
      <xdr:col>2</xdr:col>
      <xdr:colOff>462616</xdr:colOff>
      <xdr:row>22</xdr:row>
      <xdr:rowOff>18981</xdr:rowOff>
    </xdr:to>
    <xdr:pic>
      <xdr:nvPicPr>
        <xdr:cNvPr id="15" name="Picture 14" descr="37.24" title="Combined Arms Bn (M1A2)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50882" y="5780312"/>
          <a:ext cx="535734" cy="497955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19</xdr:row>
      <xdr:rowOff>88174</xdr:rowOff>
    </xdr:from>
    <xdr:to>
      <xdr:col>3</xdr:col>
      <xdr:colOff>669084</xdr:colOff>
      <xdr:row>22</xdr:row>
      <xdr:rowOff>20725</xdr:rowOff>
    </xdr:to>
    <xdr:pic>
      <xdr:nvPicPr>
        <xdr:cNvPr id="16" name="Picture 15" descr="21.31" title="EN Bn (ABCT)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134100" y="5755549"/>
          <a:ext cx="554784" cy="504051"/>
        </a:xfrm>
        <a:prstGeom prst="rect">
          <a:avLst/>
        </a:prstGeom>
      </xdr:spPr>
    </xdr:pic>
    <xdr:clientData/>
  </xdr:twoCellAnchor>
  <xdr:twoCellAnchor editAs="oneCell">
    <xdr:from>
      <xdr:col>1</xdr:col>
      <xdr:colOff>74566</xdr:colOff>
      <xdr:row>19</xdr:row>
      <xdr:rowOff>130628</xdr:rowOff>
    </xdr:from>
    <xdr:to>
      <xdr:col>1</xdr:col>
      <xdr:colOff>616397</xdr:colOff>
      <xdr:row>22</xdr:row>
      <xdr:rowOff>57083</xdr:rowOff>
    </xdr:to>
    <xdr:pic>
      <xdr:nvPicPr>
        <xdr:cNvPr id="17" name="Picture 16" descr="248.99" title="Armored Bde (ABCT) (M1A2)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1316" y="5798003"/>
          <a:ext cx="541831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553176</xdr:colOff>
      <xdr:row>19</xdr:row>
      <xdr:rowOff>133894</xdr:rowOff>
    </xdr:from>
    <xdr:to>
      <xdr:col>2</xdr:col>
      <xdr:colOff>1114057</xdr:colOff>
      <xdr:row>22</xdr:row>
      <xdr:rowOff>54252</xdr:rowOff>
    </xdr:to>
    <xdr:pic>
      <xdr:nvPicPr>
        <xdr:cNvPr id="18" name="Picture 17" descr="8.95" title="Infantry Co (M2A2)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77176" y="5801269"/>
          <a:ext cx="560881" cy="491858"/>
        </a:xfrm>
        <a:prstGeom prst="rect">
          <a:avLst/>
        </a:prstGeom>
      </xdr:spPr>
    </xdr:pic>
    <xdr:clientData/>
  </xdr:twoCellAnchor>
  <xdr:twoCellAnchor editAs="oneCell">
    <xdr:from>
      <xdr:col>2</xdr:col>
      <xdr:colOff>3261905</xdr:colOff>
      <xdr:row>19</xdr:row>
      <xdr:rowOff>77650</xdr:rowOff>
    </xdr:from>
    <xdr:to>
      <xdr:col>2</xdr:col>
      <xdr:colOff>3822786</xdr:colOff>
      <xdr:row>22</xdr:row>
      <xdr:rowOff>16298</xdr:rowOff>
    </xdr:to>
    <xdr:pic>
      <xdr:nvPicPr>
        <xdr:cNvPr id="19" name="Picture 18" descr="28.13" title="FA Bn (M109A6)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785905" y="5745025"/>
          <a:ext cx="560881" cy="510148"/>
        </a:xfrm>
        <a:prstGeom prst="rect">
          <a:avLst/>
        </a:prstGeom>
      </xdr:spPr>
    </xdr:pic>
    <xdr:clientData/>
  </xdr:twoCellAnchor>
  <xdr:twoCellAnchor editAs="oneCell">
    <xdr:from>
      <xdr:col>2</xdr:col>
      <xdr:colOff>3933553</xdr:colOff>
      <xdr:row>19</xdr:row>
      <xdr:rowOff>89625</xdr:rowOff>
    </xdr:from>
    <xdr:to>
      <xdr:col>2</xdr:col>
      <xdr:colOff>4476748</xdr:colOff>
      <xdr:row>22</xdr:row>
      <xdr:rowOff>28273</xdr:rowOff>
    </xdr:to>
    <xdr:pic>
      <xdr:nvPicPr>
        <xdr:cNvPr id="20" name="Picture 19" descr="5.87" title="FA Btry (M109A6)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457553" y="5757000"/>
          <a:ext cx="543195" cy="510148"/>
        </a:xfrm>
        <a:prstGeom prst="rect">
          <a:avLst/>
        </a:prstGeom>
      </xdr:spPr>
    </xdr:pic>
    <xdr:clientData/>
  </xdr:twoCellAnchor>
  <xdr:twoCellAnchor editAs="oneCell">
    <xdr:from>
      <xdr:col>3</xdr:col>
      <xdr:colOff>784137</xdr:colOff>
      <xdr:row>19</xdr:row>
      <xdr:rowOff>100149</xdr:rowOff>
    </xdr:from>
    <xdr:to>
      <xdr:col>4</xdr:col>
      <xdr:colOff>487768</xdr:colOff>
      <xdr:row>22</xdr:row>
      <xdr:rowOff>26604</xdr:rowOff>
    </xdr:to>
    <xdr:pic>
      <xdr:nvPicPr>
        <xdr:cNvPr id="21" name="Picture 20" descr="7.95" title="EN A Co (ABCT)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803937" y="5767524"/>
          <a:ext cx="560881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1247322</xdr:colOff>
      <xdr:row>19</xdr:row>
      <xdr:rowOff>109945</xdr:rowOff>
    </xdr:from>
    <xdr:to>
      <xdr:col>2</xdr:col>
      <xdr:colOff>1808203</xdr:colOff>
      <xdr:row>22</xdr:row>
      <xdr:rowOff>30303</xdr:rowOff>
    </xdr:to>
    <xdr:pic>
      <xdr:nvPicPr>
        <xdr:cNvPr id="22" name="Picture 21" descr="7.8" title="Tank Co (M1A2)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771322" y="5777320"/>
          <a:ext cx="560881" cy="491858"/>
        </a:xfrm>
        <a:prstGeom prst="rect">
          <a:avLst/>
        </a:prstGeom>
      </xdr:spPr>
    </xdr:pic>
    <xdr:clientData/>
  </xdr:twoCellAnchor>
  <xdr:twoCellAnchor editAs="oneCell">
    <xdr:from>
      <xdr:col>2</xdr:col>
      <xdr:colOff>1945824</xdr:colOff>
      <xdr:row>22</xdr:row>
      <xdr:rowOff>56606</xdr:rowOff>
    </xdr:from>
    <xdr:to>
      <xdr:col>2</xdr:col>
      <xdr:colOff>2506705</xdr:colOff>
      <xdr:row>25</xdr:row>
      <xdr:rowOff>19639</xdr:rowOff>
    </xdr:to>
    <xdr:pic>
      <xdr:nvPicPr>
        <xdr:cNvPr id="23" name="Picture 22" descr="14.16" title="Cav Sqdn (IBCT)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469824" y="6295481"/>
          <a:ext cx="560881" cy="534533"/>
        </a:xfrm>
        <a:prstGeom prst="rect">
          <a:avLst/>
        </a:prstGeom>
      </xdr:spPr>
    </xdr:pic>
    <xdr:clientData/>
  </xdr:twoCellAnchor>
  <xdr:twoCellAnchor editAs="oneCell">
    <xdr:from>
      <xdr:col>2</xdr:col>
      <xdr:colOff>3261544</xdr:colOff>
      <xdr:row>22</xdr:row>
      <xdr:rowOff>63863</xdr:rowOff>
    </xdr:from>
    <xdr:to>
      <xdr:col>2</xdr:col>
      <xdr:colOff>3822425</xdr:colOff>
      <xdr:row>25</xdr:row>
      <xdr:rowOff>51282</xdr:rowOff>
    </xdr:to>
    <xdr:pic>
      <xdr:nvPicPr>
        <xdr:cNvPr id="24" name="Picture 23" descr="17.6" title="FA Bn (Comp)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785544" y="6302738"/>
          <a:ext cx="560881" cy="558919"/>
        </a:xfrm>
        <a:prstGeom prst="rect">
          <a:avLst/>
        </a:prstGeom>
      </xdr:spPr>
    </xdr:pic>
    <xdr:clientData/>
  </xdr:twoCellAnchor>
  <xdr:twoCellAnchor editAs="oneCell">
    <xdr:from>
      <xdr:col>3</xdr:col>
      <xdr:colOff>94706</xdr:colOff>
      <xdr:row>22</xdr:row>
      <xdr:rowOff>89263</xdr:rowOff>
    </xdr:from>
    <xdr:to>
      <xdr:col>3</xdr:col>
      <xdr:colOff>655587</xdr:colOff>
      <xdr:row>25</xdr:row>
      <xdr:rowOff>119358</xdr:rowOff>
    </xdr:to>
    <xdr:pic>
      <xdr:nvPicPr>
        <xdr:cNvPr id="25" name="Picture 24" descr="3.31" title="FA Btry (M119)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4506" y="6328138"/>
          <a:ext cx="560881" cy="601595"/>
        </a:xfrm>
        <a:prstGeom prst="rect">
          <a:avLst/>
        </a:prstGeom>
      </xdr:spPr>
    </xdr:pic>
    <xdr:clientData/>
  </xdr:twoCellAnchor>
  <xdr:twoCellAnchor editAs="oneCell">
    <xdr:from>
      <xdr:col>2</xdr:col>
      <xdr:colOff>3889649</xdr:colOff>
      <xdr:row>22</xdr:row>
      <xdr:rowOff>67129</xdr:rowOff>
    </xdr:from>
    <xdr:to>
      <xdr:col>2</xdr:col>
      <xdr:colOff>4487347</xdr:colOff>
      <xdr:row>25</xdr:row>
      <xdr:rowOff>97224</xdr:rowOff>
    </xdr:to>
    <xdr:pic>
      <xdr:nvPicPr>
        <xdr:cNvPr id="26" name="Picture 25" descr="4.1" title="FA Btry (M777)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5413649" y="6306004"/>
          <a:ext cx="597698" cy="601595"/>
        </a:xfrm>
        <a:prstGeom prst="rect">
          <a:avLst/>
        </a:prstGeom>
      </xdr:spPr>
    </xdr:pic>
    <xdr:clientData/>
  </xdr:twoCellAnchor>
  <xdr:twoCellAnchor editAs="oneCell">
    <xdr:from>
      <xdr:col>2</xdr:col>
      <xdr:colOff>2605497</xdr:colOff>
      <xdr:row>22</xdr:row>
      <xdr:rowOff>87449</xdr:rowOff>
    </xdr:from>
    <xdr:to>
      <xdr:col>2</xdr:col>
      <xdr:colOff>3160281</xdr:colOff>
      <xdr:row>25</xdr:row>
      <xdr:rowOff>13903</xdr:rowOff>
    </xdr:to>
    <xdr:pic>
      <xdr:nvPicPr>
        <xdr:cNvPr id="27" name="Picture 26" descr="5.01" title="Cav Trp (IBCT)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129497" y="6326324"/>
          <a:ext cx="554784" cy="497954"/>
        </a:xfrm>
        <a:prstGeom prst="rect">
          <a:avLst/>
        </a:prstGeom>
      </xdr:spPr>
    </xdr:pic>
    <xdr:clientData/>
  </xdr:twoCellAnchor>
  <xdr:twoCellAnchor editAs="oneCell">
    <xdr:from>
      <xdr:col>3</xdr:col>
      <xdr:colOff>778693</xdr:colOff>
      <xdr:row>22</xdr:row>
      <xdr:rowOff>61323</xdr:rowOff>
    </xdr:from>
    <xdr:to>
      <xdr:col>4</xdr:col>
      <xdr:colOff>482324</xdr:colOff>
      <xdr:row>24</xdr:row>
      <xdr:rowOff>166737</xdr:rowOff>
    </xdr:to>
    <xdr:pic>
      <xdr:nvPicPr>
        <xdr:cNvPr id="28" name="Picture 27" descr="13.17" title="EN Bn (IBCT)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798493" y="6300198"/>
          <a:ext cx="560881" cy="486414"/>
        </a:xfrm>
        <a:prstGeom prst="rect">
          <a:avLst/>
        </a:prstGeom>
      </xdr:spPr>
    </xdr:pic>
    <xdr:clientData/>
  </xdr:twoCellAnchor>
  <xdr:twoCellAnchor editAs="oneCell">
    <xdr:from>
      <xdr:col>5</xdr:col>
      <xdr:colOff>49892</xdr:colOff>
      <xdr:row>22</xdr:row>
      <xdr:rowOff>55516</xdr:rowOff>
    </xdr:from>
    <xdr:to>
      <xdr:col>5</xdr:col>
      <xdr:colOff>610773</xdr:colOff>
      <xdr:row>24</xdr:row>
      <xdr:rowOff>167027</xdr:rowOff>
    </xdr:to>
    <xdr:pic>
      <xdr:nvPicPr>
        <xdr:cNvPr id="29" name="Picture 28" descr="3.75" title="EN A Co (IBCT)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450817" y="6294391"/>
          <a:ext cx="560881" cy="492511"/>
        </a:xfrm>
        <a:prstGeom prst="rect">
          <a:avLst/>
        </a:prstGeom>
      </xdr:spPr>
    </xdr:pic>
    <xdr:clientData/>
  </xdr:twoCellAnchor>
  <xdr:twoCellAnchor editAs="oneCell">
    <xdr:from>
      <xdr:col>1</xdr:col>
      <xdr:colOff>747485</xdr:colOff>
      <xdr:row>22</xdr:row>
      <xdr:rowOff>98334</xdr:rowOff>
    </xdr:from>
    <xdr:to>
      <xdr:col>2</xdr:col>
      <xdr:colOff>438162</xdr:colOff>
      <xdr:row>25</xdr:row>
      <xdr:rowOff>152815</xdr:rowOff>
    </xdr:to>
    <xdr:pic>
      <xdr:nvPicPr>
        <xdr:cNvPr id="30" name="Picture 29" descr="19.09" title="Infantry Bn (IBCT)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14235" y="6337209"/>
          <a:ext cx="547927" cy="625981"/>
        </a:xfrm>
        <a:prstGeom prst="rect">
          <a:avLst/>
        </a:prstGeom>
      </xdr:spPr>
    </xdr:pic>
    <xdr:clientData/>
  </xdr:twoCellAnchor>
  <xdr:twoCellAnchor editAs="oneCell">
    <xdr:from>
      <xdr:col>2</xdr:col>
      <xdr:colOff>543742</xdr:colOff>
      <xdr:row>22</xdr:row>
      <xdr:rowOff>99060</xdr:rowOff>
    </xdr:from>
    <xdr:to>
      <xdr:col>2</xdr:col>
      <xdr:colOff>1110719</xdr:colOff>
      <xdr:row>25</xdr:row>
      <xdr:rowOff>153541</xdr:rowOff>
    </xdr:to>
    <xdr:pic>
      <xdr:nvPicPr>
        <xdr:cNvPr id="31" name="Picture 30" descr="2.7" title="Infantry Co (IBCT)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067742" y="6337935"/>
          <a:ext cx="566977" cy="625981"/>
        </a:xfrm>
        <a:prstGeom prst="rect">
          <a:avLst/>
        </a:prstGeom>
      </xdr:spPr>
    </xdr:pic>
    <xdr:clientData/>
  </xdr:twoCellAnchor>
  <xdr:twoCellAnchor editAs="oneCell">
    <xdr:from>
      <xdr:col>1</xdr:col>
      <xdr:colOff>49166</xdr:colOff>
      <xdr:row>22</xdr:row>
      <xdr:rowOff>87086</xdr:rowOff>
    </xdr:from>
    <xdr:to>
      <xdr:col>1</xdr:col>
      <xdr:colOff>597093</xdr:colOff>
      <xdr:row>25</xdr:row>
      <xdr:rowOff>141567</xdr:rowOff>
    </xdr:to>
    <xdr:pic>
      <xdr:nvPicPr>
        <xdr:cNvPr id="32" name="Picture 31" descr="131.3" title="Infantry Bde (IBCT)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15916" y="6325961"/>
          <a:ext cx="547927" cy="625981"/>
        </a:xfrm>
        <a:prstGeom prst="rect">
          <a:avLst/>
        </a:prstGeom>
      </xdr:spPr>
    </xdr:pic>
    <xdr:clientData/>
  </xdr:twoCellAnchor>
  <xdr:twoCellAnchor editAs="oneCell">
    <xdr:from>
      <xdr:col>2</xdr:col>
      <xdr:colOff>1266192</xdr:colOff>
      <xdr:row>22</xdr:row>
      <xdr:rowOff>93618</xdr:rowOff>
    </xdr:from>
    <xdr:to>
      <xdr:col>2</xdr:col>
      <xdr:colOff>1827073</xdr:colOff>
      <xdr:row>25</xdr:row>
      <xdr:rowOff>142002</xdr:rowOff>
    </xdr:to>
    <xdr:pic>
      <xdr:nvPicPr>
        <xdr:cNvPr id="33" name="Picture 32" descr="4.38" title="Weapons Co (IBCT)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790192" y="6332493"/>
          <a:ext cx="560881" cy="619884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104774</xdr:colOff>
      <xdr:row>25</xdr:row>
      <xdr:rowOff>115752</xdr:rowOff>
    </xdr:from>
    <xdr:to>
      <xdr:col>3</xdr:col>
      <xdr:colOff>665655</xdr:colOff>
      <xdr:row>28</xdr:row>
      <xdr:rowOff>22503</xdr:rowOff>
    </xdr:to>
    <xdr:pic>
      <xdr:nvPicPr>
        <xdr:cNvPr id="34" name="Picture 33" descr="15.72" title="AVN Bn (AH-64)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4574" y="6926127"/>
          <a:ext cx="560881" cy="491858"/>
        </a:xfrm>
        <a:prstGeom prst="rect">
          <a:avLst/>
        </a:prstGeom>
      </xdr:spPr>
    </xdr:pic>
    <xdr:clientData/>
  </xdr:twoCellAnchor>
  <xdr:twoCellAnchor editAs="oneCell">
    <xdr:from>
      <xdr:col>4</xdr:col>
      <xdr:colOff>61684</xdr:colOff>
      <xdr:row>34</xdr:row>
      <xdr:rowOff>168364</xdr:rowOff>
    </xdr:from>
    <xdr:to>
      <xdr:col>5</xdr:col>
      <xdr:colOff>72836</xdr:colOff>
      <xdr:row>38</xdr:row>
      <xdr:rowOff>9920</xdr:rowOff>
    </xdr:to>
    <xdr:pic>
      <xdr:nvPicPr>
        <xdr:cNvPr id="35" name="Picture 34" descr="40" title="CAS Sortie x5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938734" y="8693239"/>
          <a:ext cx="535027" cy="603556"/>
        </a:xfrm>
        <a:prstGeom prst="rect">
          <a:avLst/>
        </a:prstGeom>
      </xdr:spPr>
    </xdr:pic>
    <xdr:clientData/>
  </xdr:twoCellAnchor>
  <xdr:twoCellAnchor editAs="oneCell">
    <xdr:from>
      <xdr:col>4</xdr:col>
      <xdr:colOff>51706</xdr:colOff>
      <xdr:row>37</xdr:row>
      <xdr:rowOff>51796</xdr:rowOff>
    </xdr:from>
    <xdr:to>
      <xdr:col>5</xdr:col>
      <xdr:colOff>56761</xdr:colOff>
      <xdr:row>40</xdr:row>
      <xdr:rowOff>83852</xdr:rowOff>
    </xdr:to>
    <xdr:pic>
      <xdr:nvPicPr>
        <xdr:cNvPr id="36" name="Picture 35" descr="80" title="CAS Sortie x1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928756" y="9148171"/>
          <a:ext cx="528930" cy="603556"/>
        </a:xfrm>
        <a:prstGeom prst="rect">
          <a:avLst/>
        </a:prstGeom>
      </xdr:spPr>
    </xdr:pic>
    <xdr:clientData/>
  </xdr:twoCellAnchor>
  <xdr:twoCellAnchor editAs="oneCell">
    <xdr:from>
      <xdr:col>2</xdr:col>
      <xdr:colOff>3929834</xdr:colOff>
      <xdr:row>25</xdr:row>
      <xdr:rowOff>70758</xdr:rowOff>
    </xdr:from>
    <xdr:to>
      <xdr:col>2</xdr:col>
      <xdr:colOff>4480548</xdr:colOff>
      <xdr:row>27</xdr:row>
      <xdr:rowOff>176774</xdr:rowOff>
    </xdr:to>
    <xdr:pic>
      <xdr:nvPicPr>
        <xdr:cNvPr id="37" name="Picture 36" descr="1.5" title="Avenger Btry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5453834" y="6881133"/>
          <a:ext cx="550714" cy="510148"/>
        </a:xfrm>
        <a:prstGeom prst="rect">
          <a:avLst/>
        </a:prstGeom>
      </xdr:spPr>
    </xdr:pic>
    <xdr:clientData/>
  </xdr:twoCellAnchor>
  <xdr:twoCellAnchor editAs="oneCell">
    <xdr:from>
      <xdr:col>2</xdr:col>
      <xdr:colOff>3279231</xdr:colOff>
      <xdr:row>25</xdr:row>
      <xdr:rowOff>92529</xdr:rowOff>
    </xdr:from>
    <xdr:to>
      <xdr:col>2</xdr:col>
      <xdr:colOff>3840112</xdr:colOff>
      <xdr:row>28</xdr:row>
      <xdr:rowOff>11473</xdr:rowOff>
    </xdr:to>
    <xdr:pic>
      <xdr:nvPicPr>
        <xdr:cNvPr id="38" name="Picture 37" descr="9.5" title="Avenger Bn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4803231" y="6902904"/>
          <a:ext cx="560881" cy="504051"/>
        </a:xfrm>
        <a:prstGeom prst="rect">
          <a:avLst/>
        </a:prstGeom>
      </xdr:spPr>
    </xdr:pic>
    <xdr:clientData/>
  </xdr:twoCellAnchor>
  <xdr:twoCellAnchor editAs="oneCell">
    <xdr:from>
      <xdr:col>1</xdr:col>
      <xdr:colOff>727800</xdr:colOff>
      <xdr:row>25</xdr:row>
      <xdr:rowOff>95431</xdr:rowOff>
    </xdr:from>
    <xdr:to>
      <xdr:col>2</xdr:col>
      <xdr:colOff>412381</xdr:colOff>
      <xdr:row>28</xdr:row>
      <xdr:rowOff>32665</xdr:rowOff>
    </xdr:to>
    <xdr:pic>
      <xdr:nvPicPr>
        <xdr:cNvPr id="39" name="Picture 38" descr="12.3" title="MP Co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94550" y="6905806"/>
          <a:ext cx="541831" cy="522341"/>
        </a:xfrm>
        <a:prstGeom prst="rect">
          <a:avLst/>
        </a:prstGeom>
      </xdr:spPr>
    </xdr:pic>
    <xdr:clientData/>
  </xdr:twoCellAnchor>
  <xdr:twoCellAnchor editAs="oneCell">
    <xdr:from>
      <xdr:col>3</xdr:col>
      <xdr:colOff>769168</xdr:colOff>
      <xdr:row>25</xdr:row>
      <xdr:rowOff>110309</xdr:rowOff>
    </xdr:from>
    <xdr:to>
      <xdr:col>4</xdr:col>
      <xdr:colOff>472799</xdr:colOff>
      <xdr:row>28</xdr:row>
      <xdr:rowOff>4867</xdr:rowOff>
    </xdr:to>
    <xdr:pic>
      <xdr:nvPicPr>
        <xdr:cNvPr id="40" name="Picture 39" descr="5.24" title="AVN Co (AH-64)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6788968" y="6920684"/>
          <a:ext cx="560881" cy="479665"/>
        </a:xfrm>
        <a:prstGeom prst="rect">
          <a:avLst/>
        </a:prstGeom>
      </xdr:spPr>
    </xdr:pic>
    <xdr:clientData/>
  </xdr:twoCellAnchor>
  <xdr:twoCellAnchor editAs="oneCell">
    <xdr:from>
      <xdr:col>4</xdr:col>
      <xdr:colOff>78829</xdr:colOff>
      <xdr:row>29</xdr:row>
      <xdr:rowOff>127816</xdr:rowOff>
    </xdr:from>
    <xdr:to>
      <xdr:col>5</xdr:col>
      <xdr:colOff>89981</xdr:colOff>
      <xdr:row>32</xdr:row>
      <xdr:rowOff>3377</xdr:rowOff>
    </xdr:to>
    <xdr:pic>
      <xdr:nvPicPr>
        <xdr:cNvPr id="41" name="Picture 40" descr="8" title="CAS Sortie Equivalent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955879" y="7700191"/>
          <a:ext cx="535027" cy="437536"/>
        </a:xfrm>
        <a:prstGeom prst="rect">
          <a:avLst/>
        </a:prstGeom>
      </xdr:spPr>
    </xdr:pic>
    <xdr:clientData/>
  </xdr:twoCellAnchor>
  <xdr:twoCellAnchor editAs="oneCell">
    <xdr:from>
      <xdr:col>4</xdr:col>
      <xdr:colOff>67853</xdr:colOff>
      <xdr:row>32</xdr:row>
      <xdr:rowOff>90350</xdr:rowOff>
    </xdr:from>
    <xdr:to>
      <xdr:col>5</xdr:col>
      <xdr:colOff>79005</xdr:colOff>
      <xdr:row>35</xdr:row>
      <xdr:rowOff>122406</xdr:rowOff>
    </xdr:to>
    <xdr:pic>
      <xdr:nvPicPr>
        <xdr:cNvPr id="42" name="Picture 41" descr="16" title="CAS Sortie x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944903" y="8234225"/>
          <a:ext cx="535027" cy="603556"/>
        </a:xfrm>
        <a:prstGeom prst="rect">
          <a:avLst/>
        </a:prstGeom>
      </xdr:spPr>
    </xdr:pic>
    <xdr:clientData/>
  </xdr:twoCellAnchor>
  <xdr:twoCellAnchor editAs="oneCell">
    <xdr:from>
      <xdr:col>1</xdr:col>
      <xdr:colOff>49801</xdr:colOff>
      <xdr:row>25</xdr:row>
      <xdr:rowOff>87085</xdr:rowOff>
    </xdr:from>
    <xdr:to>
      <xdr:col>1</xdr:col>
      <xdr:colOff>585535</xdr:colOff>
      <xdr:row>28</xdr:row>
      <xdr:rowOff>91381</xdr:rowOff>
    </xdr:to>
    <xdr:pic>
      <xdr:nvPicPr>
        <xdr:cNvPr id="43" name="Picture 42" descr="6.7" title="EN Co (Sapper)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16551" y="6897460"/>
          <a:ext cx="535734" cy="589403"/>
        </a:xfrm>
        <a:prstGeom prst="rect">
          <a:avLst/>
        </a:prstGeom>
      </xdr:spPr>
    </xdr:pic>
    <xdr:clientData/>
  </xdr:twoCellAnchor>
  <xdr:twoCellAnchor editAs="oneCell">
    <xdr:from>
      <xdr:col>2</xdr:col>
      <xdr:colOff>1204051</xdr:colOff>
      <xdr:row>25</xdr:row>
      <xdr:rowOff>75474</xdr:rowOff>
    </xdr:from>
    <xdr:to>
      <xdr:col>2</xdr:col>
      <xdr:colOff>1764932</xdr:colOff>
      <xdr:row>28</xdr:row>
      <xdr:rowOff>3943</xdr:rowOff>
    </xdr:to>
    <xdr:pic>
      <xdr:nvPicPr>
        <xdr:cNvPr id="44" name="Picture 43" descr="5.25" title="FA Btry (MLRS)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28051" y="6885849"/>
          <a:ext cx="560881" cy="504051"/>
        </a:xfrm>
        <a:prstGeom prst="rect">
          <a:avLst/>
        </a:prstGeom>
      </xdr:spPr>
    </xdr:pic>
    <xdr:clientData/>
  </xdr:twoCellAnchor>
  <xdr:twoCellAnchor editAs="oneCell">
    <xdr:from>
      <xdr:col>2</xdr:col>
      <xdr:colOff>1889125</xdr:colOff>
      <xdr:row>25</xdr:row>
      <xdr:rowOff>80554</xdr:rowOff>
    </xdr:from>
    <xdr:to>
      <xdr:col>2</xdr:col>
      <xdr:colOff>2450006</xdr:colOff>
      <xdr:row>27</xdr:row>
      <xdr:rowOff>166266</xdr:rowOff>
    </xdr:to>
    <xdr:pic>
      <xdr:nvPicPr>
        <xdr:cNvPr id="45" name="Picture 44" descr="10.48" title="FA Bn (HIMARS)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413125" y="6890929"/>
          <a:ext cx="560881" cy="480319"/>
        </a:xfrm>
        <a:prstGeom prst="rect">
          <a:avLst/>
        </a:prstGeom>
      </xdr:spPr>
    </xdr:pic>
    <xdr:clientData/>
  </xdr:twoCellAnchor>
  <xdr:twoCellAnchor editAs="oneCell">
    <xdr:from>
      <xdr:col>2</xdr:col>
      <xdr:colOff>522243</xdr:colOff>
      <xdr:row>25</xdr:row>
      <xdr:rowOff>84183</xdr:rowOff>
    </xdr:from>
    <xdr:to>
      <xdr:col>2</xdr:col>
      <xdr:colOff>1083124</xdr:colOff>
      <xdr:row>27</xdr:row>
      <xdr:rowOff>178006</xdr:rowOff>
    </xdr:to>
    <xdr:pic>
      <xdr:nvPicPr>
        <xdr:cNvPr id="46" name="Picture 45" descr="13.08" title="FA Bn (MLRS)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2046243" y="6894558"/>
          <a:ext cx="560881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2580731</xdr:colOff>
      <xdr:row>25</xdr:row>
      <xdr:rowOff>72934</xdr:rowOff>
    </xdr:from>
    <xdr:to>
      <xdr:col>2</xdr:col>
      <xdr:colOff>3141612</xdr:colOff>
      <xdr:row>27</xdr:row>
      <xdr:rowOff>170839</xdr:rowOff>
    </xdr:to>
    <xdr:pic>
      <xdr:nvPicPr>
        <xdr:cNvPr id="47" name="Picture 46" descr="4.2" title="FA Btry (HIMARS)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104731" y="6883309"/>
          <a:ext cx="560881" cy="492512"/>
        </a:xfrm>
        <a:prstGeom prst="rect">
          <a:avLst/>
        </a:prstGeom>
      </xdr:spPr>
    </xdr:pic>
    <xdr:clientData/>
  </xdr:twoCellAnchor>
  <xdr:twoCellAnchor editAs="oneCell">
    <xdr:from>
      <xdr:col>1</xdr:col>
      <xdr:colOff>25481</xdr:colOff>
      <xdr:row>28</xdr:row>
      <xdr:rowOff>97971</xdr:rowOff>
    </xdr:from>
    <xdr:to>
      <xdr:col>1</xdr:col>
      <xdr:colOff>579505</xdr:colOff>
      <xdr:row>32</xdr:row>
      <xdr:rowOff>40553</xdr:rowOff>
    </xdr:to>
    <xdr:pic>
      <xdr:nvPicPr>
        <xdr:cNvPr id="49" name="Picture 48" descr="313.6" title="Armored Bde (GB)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692231" y="7479846"/>
          <a:ext cx="554024" cy="704582"/>
        </a:xfrm>
        <a:prstGeom prst="rect">
          <a:avLst/>
        </a:prstGeom>
      </xdr:spPr>
    </xdr:pic>
    <xdr:clientData/>
  </xdr:twoCellAnchor>
  <xdr:twoCellAnchor editAs="oneCell">
    <xdr:from>
      <xdr:col>1</xdr:col>
      <xdr:colOff>675902</xdr:colOff>
      <xdr:row>28</xdr:row>
      <xdr:rowOff>102507</xdr:rowOff>
    </xdr:from>
    <xdr:to>
      <xdr:col>2</xdr:col>
      <xdr:colOff>360483</xdr:colOff>
      <xdr:row>32</xdr:row>
      <xdr:rowOff>93861</xdr:rowOff>
    </xdr:to>
    <xdr:pic>
      <xdr:nvPicPr>
        <xdr:cNvPr id="50" name="Picture 49" descr="19.1" title="Recon Squadron (GB)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342652" y="7484382"/>
          <a:ext cx="541831" cy="753354"/>
        </a:xfrm>
        <a:prstGeom prst="rect">
          <a:avLst/>
        </a:prstGeom>
      </xdr:spPr>
    </xdr:pic>
    <xdr:clientData/>
  </xdr:twoCellAnchor>
  <xdr:twoCellAnchor editAs="oneCell">
    <xdr:from>
      <xdr:col>2</xdr:col>
      <xdr:colOff>508083</xdr:colOff>
      <xdr:row>28</xdr:row>
      <xdr:rowOff>110672</xdr:rowOff>
    </xdr:from>
    <xdr:to>
      <xdr:col>2</xdr:col>
      <xdr:colOff>1068964</xdr:colOff>
      <xdr:row>32</xdr:row>
      <xdr:rowOff>77640</xdr:rowOff>
    </xdr:to>
    <xdr:pic>
      <xdr:nvPicPr>
        <xdr:cNvPr id="51" name="Picture 50" descr="45.97" title="Mech Inf Bn (GB)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2032083" y="7492547"/>
          <a:ext cx="560881" cy="728968"/>
        </a:xfrm>
        <a:prstGeom prst="rect">
          <a:avLst/>
        </a:prstGeom>
      </xdr:spPr>
    </xdr:pic>
    <xdr:clientData/>
  </xdr:twoCellAnchor>
  <xdr:twoCellAnchor editAs="oneCell">
    <xdr:from>
      <xdr:col>2</xdr:col>
      <xdr:colOff>1181183</xdr:colOff>
      <xdr:row>28</xdr:row>
      <xdr:rowOff>124279</xdr:rowOff>
    </xdr:from>
    <xdr:to>
      <xdr:col>2</xdr:col>
      <xdr:colOff>1742064</xdr:colOff>
      <xdr:row>32</xdr:row>
      <xdr:rowOff>91247</xdr:rowOff>
    </xdr:to>
    <xdr:pic>
      <xdr:nvPicPr>
        <xdr:cNvPr id="52" name="Picture 51" descr="41.25" title="Armored Inf Bn (GB)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2705183" y="7506154"/>
          <a:ext cx="560881" cy="728968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1854283</xdr:colOff>
      <xdr:row>28</xdr:row>
      <xdr:rowOff>115208</xdr:rowOff>
    </xdr:from>
    <xdr:to>
      <xdr:col>2</xdr:col>
      <xdr:colOff>2415164</xdr:colOff>
      <xdr:row>32</xdr:row>
      <xdr:rowOff>88273</xdr:rowOff>
    </xdr:to>
    <xdr:pic>
      <xdr:nvPicPr>
        <xdr:cNvPr id="53" name="Picture 52" descr="19.09" title="Light Inf Bn (GB)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378283" y="7497083"/>
          <a:ext cx="560881" cy="735065"/>
        </a:xfrm>
        <a:prstGeom prst="rect">
          <a:avLst/>
        </a:prstGeom>
      </xdr:spPr>
    </xdr:pic>
    <xdr:clientData/>
  </xdr:twoCellAnchor>
  <xdr:twoCellAnchor editAs="oneCell">
    <xdr:from>
      <xdr:col>2</xdr:col>
      <xdr:colOff>2544537</xdr:colOff>
      <xdr:row>28</xdr:row>
      <xdr:rowOff>117599</xdr:rowOff>
    </xdr:from>
    <xdr:to>
      <xdr:col>2</xdr:col>
      <xdr:colOff>3105418</xdr:colOff>
      <xdr:row>32</xdr:row>
      <xdr:rowOff>108953</xdr:rowOff>
    </xdr:to>
    <xdr:pic>
      <xdr:nvPicPr>
        <xdr:cNvPr id="54" name="Picture 53" descr="41.91" title="Tank Regt (GB)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4068537" y="7499474"/>
          <a:ext cx="560881" cy="753354"/>
        </a:xfrm>
        <a:prstGeom prst="rect">
          <a:avLst/>
        </a:prstGeom>
      </xdr:spPr>
    </xdr:pic>
    <xdr:clientData/>
  </xdr:twoCellAnchor>
  <xdr:twoCellAnchor editAs="oneCell">
    <xdr:from>
      <xdr:col>2</xdr:col>
      <xdr:colOff>3957947</xdr:colOff>
      <xdr:row>28</xdr:row>
      <xdr:rowOff>121558</xdr:rowOff>
    </xdr:from>
    <xdr:to>
      <xdr:col>2</xdr:col>
      <xdr:colOff>4490356</xdr:colOff>
      <xdr:row>32</xdr:row>
      <xdr:rowOff>100719</xdr:rowOff>
    </xdr:to>
    <xdr:pic>
      <xdr:nvPicPr>
        <xdr:cNvPr id="55" name="Picture 54" descr="26.54" title="EN Regt (GB)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481947" y="7503433"/>
          <a:ext cx="532409" cy="741161"/>
        </a:xfrm>
        <a:prstGeom prst="rect">
          <a:avLst/>
        </a:prstGeom>
      </xdr:spPr>
    </xdr:pic>
    <xdr:clientData/>
  </xdr:twoCellAnchor>
  <xdr:twoCellAnchor editAs="oneCell">
    <xdr:from>
      <xdr:col>2</xdr:col>
      <xdr:colOff>3262994</xdr:colOff>
      <xdr:row>28</xdr:row>
      <xdr:rowOff>119742</xdr:rowOff>
    </xdr:from>
    <xdr:to>
      <xdr:col>2</xdr:col>
      <xdr:colOff>3823875</xdr:colOff>
      <xdr:row>32</xdr:row>
      <xdr:rowOff>92807</xdr:rowOff>
    </xdr:to>
    <xdr:pic>
      <xdr:nvPicPr>
        <xdr:cNvPr id="56" name="Picture 55" descr="33.42" title="FA Regt (GB)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4786994" y="7501617"/>
          <a:ext cx="560881" cy="735065"/>
        </a:xfrm>
        <a:prstGeom prst="rect">
          <a:avLst/>
        </a:prstGeom>
      </xdr:spPr>
    </xdr:pic>
    <xdr:clientData/>
  </xdr:twoCellAnchor>
  <xdr:twoCellAnchor editAs="oneCell">
    <xdr:from>
      <xdr:col>3</xdr:col>
      <xdr:colOff>212272</xdr:colOff>
      <xdr:row>28</xdr:row>
      <xdr:rowOff>108857</xdr:rowOff>
    </xdr:from>
    <xdr:to>
      <xdr:col>3</xdr:col>
      <xdr:colOff>750728</xdr:colOff>
      <xdr:row>32</xdr:row>
      <xdr:rowOff>94115</xdr:rowOff>
    </xdr:to>
    <xdr:pic>
      <xdr:nvPicPr>
        <xdr:cNvPr id="57" name="Picture 56" descr="5.23" title="ADA Btry (GB)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232072" y="7490732"/>
          <a:ext cx="538456" cy="747258"/>
        </a:xfrm>
        <a:prstGeom prst="rect">
          <a:avLst/>
        </a:prstGeom>
      </xdr:spPr>
    </xdr:pic>
    <xdr:clientData/>
  </xdr:twoCellAnchor>
  <xdr:twoCellAnchor editAs="oneCell">
    <xdr:from>
      <xdr:col>1</xdr:col>
      <xdr:colOff>34569</xdr:colOff>
      <xdr:row>32</xdr:row>
      <xdr:rowOff>130629</xdr:rowOff>
    </xdr:from>
    <xdr:to>
      <xdr:col>1</xdr:col>
      <xdr:colOff>576400</xdr:colOff>
      <xdr:row>36</xdr:row>
      <xdr:rowOff>97598</xdr:rowOff>
    </xdr:to>
    <xdr:pic>
      <xdr:nvPicPr>
        <xdr:cNvPr id="58" name="Picture 57" descr="184.34" title="Mechanized Bde (TR)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701319" y="8274504"/>
          <a:ext cx="541831" cy="728969"/>
        </a:xfrm>
        <a:prstGeom prst="rect">
          <a:avLst/>
        </a:prstGeom>
      </xdr:spPr>
    </xdr:pic>
    <xdr:clientData/>
  </xdr:twoCellAnchor>
  <xdr:twoCellAnchor editAs="oneCell">
    <xdr:from>
      <xdr:col>1</xdr:col>
      <xdr:colOff>707696</xdr:colOff>
      <xdr:row>32</xdr:row>
      <xdr:rowOff>133817</xdr:rowOff>
    </xdr:from>
    <xdr:to>
      <xdr:col>2</xdr:col>
      <xdr:colOff>398373</xdr:colOff>
      <xdr:row>36</xdr:row>
      <xdr:rowOff>106883</xdr:rowOff>
    </xdr:to>
    <xdr:pic>
      <xdr:nvPicPr>
        <xdr:cNvPr id="59" name="Picture 58" descr="38.81" title="Mech Inf Bn (TR) (AIFV)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374446" y="8277692"/>
          <a:ext cx="547927" cy="735066"/>
        </a:xfrm>
        <a:prstGeom prst="rect">
          <a:avLst/>
        </a:prstGeom>
      </xdr:spPr>
    </xdr:pic>
    <xdr:clientData/>
  </xdr:twoCellAnchor>
  <xdr:twoCellAnchor editAs="oneCell">
    <xdr:from>
      <xdr:col>2</xdr:col>
      <xdr:colOff>512822</xdr:colOff>
      <xdr:row>32</xdr:row>
      <xdr:rowOff>135362</xdr:rowOff>
    </xdr:from>
    <xdr:to>
      <xdr:col>2</xdr:col>
      <xdr:colOff>1067606</xdr:colOff>
      <xdr:row>36</xdr:row>
      <xdr:rowOff>108428</xdr:rowOff>
    </xdr:to>
    <xdr:pic>
      <xdr:nvPicPr>
        <xdr:cNvPr id="60" name="Picture 59" descr="37.95" title="Tank Bn (TR) (Leo 2A4)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36822" y="8279237"/>
          <a:ext cx="554784" cy="735066"/>
        </a:xfrm>
        <a:prstGeom prst="rect">
          <a:avLst/>
        </a:prstGeom>
      </xdr:spPr>
    </xdr:pic>
    <xdr:clientData/>
  </xdr:twoCellAnchor>
  <xdr:twoCellAnchor editAs="oneCell">
    <xdr:from>
      <xdr:col>2</xdr:col>
      <xdr:colOff>1192383</xdr:colOff>
      <xdr:row>32</xdr:row>
      <xdr:rowOff>129125</xdr:rowOff>
    </xdr:from>
    <xdr:to>
      <xdr:col>2</xdr:col>
      <xdr:colOff>1753264</xdr:colOff>
      <xdr:row>36</xdr:row>
      <xdr:rowOff>102191</xdr:rowOff>
    </xdr:to>
    <xdr:pic>
      <xdr:nvPicPr>
        <xdr:cNvPr id="61" name="Picture 60" descr="28.13" title="FA Bn (TR) (155SP)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716383" y="8273000"/>
          <a:ext cx="560881" cy="735066"/>
        </a:xfrm>
        <a:prstGeom prst="rect">
          <a:avLst/>
        </a:prstGeom>
      </xdr:spPr>
    </xdr:pic>
    <xdr:clientData/>
  </xdr:twoCellAnchor>
  <xdr:twoCellAnchor editAs="oneCell">
    <xdr:from>
      <xdr:col>1</xdr:col>
      <xdr:colOff>50176</xdr:colOff>
      <xdr:row>36</xdr:row>
      <xdr:rowOff>176581</xdr:rowOff>
    </xdr:from>
    <xdr:to>
      <xdr:col>1</xdr:col>
      <xdr:colOff>592007</xdr:colOff>
      <xdr:row>40</xdr:row>
      <xdr:rowOff>143549</xdr:rowOff>
    </xdr:to>
    <xdr:pic>
      <xdr:nvPicPr>
        <xdr:cNvPr id="62" name="Picture 61" descr="100.3477" title="Inf Bde (AZ)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16926" y="9082456"/>
          <a:ext cx="541831" cy="728968"/>
        </a:xfrm>
        <a:prstGeom prst="rect">
          <a:avLst/>
        </a:prstGeom>
      </xdr:spPr>
    </xdr:pic>
    <xdr:clientData/>
  </xdr:twoCellAnchor>
  <xdr:twoCellAnchor editAs="oneCell">
    <xdr:from>
      <xdr:col>1</xdr:col>
      <xdr:colOff>767440</xdr:colOff>
      <xdr:row>36</xdr:row>
      <xdr:rowOff>176581</xdr:rowOff>
    </xdr:from>
    <xdr:to>
      <xdr:col>2</xdr:col>
      <xdr:colOff>471071</xdr:colOff>
      <xdr:row>40</xdr:row>
      <xdr:rowOff>149646</xdr:rowOff>
    </xdr:to>
    <xdr:pic>
      <xdr:nvPicPr>
        <xdr:cNvPr id="63" name="Picture 62" descr="55.3968" title="Inf Bn (AZ)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34190" y="9082456"/>
          <a:ext cx="560881" cy="735065"/>
        </a:xfrm>
        <a:prstGeom prst="rect">
          <a:avLst/>
        </a:prstGeom>
      </xdr:spPr>
    </xdr:pic>
    <xdr:clientData/>
  </xdr:twoCellAnchor>
  <xdr:twoCellAnchor editAs="oneCell">
    <xdr:from>
      <xdr:col>2</xdr:col>
      <xdr:colOff>569574</xdr:colOff>
      <xdr:row>36</xdr:row>
      <xdr:rowOff>168019</xdr:rowOff>
    </xdr:from>
    <xdr:to>
      <xdr:col>2</xdr:col>
      <xdr:colOff>1130455</xdr:colOff>
      <xdr:row>40</xdr:row>
      <xdr:rowOff>147180</xdr:rowOff>
    </xdr:to>
    <xdr:pic>
      <xdr:nvPicPr>
        <xdr:cNvPr id="64" name="Picture 63" descr="9.4272" title="Inf Co (AZ)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93574" y="9073894"/>
          <a:ext cx="560881" cy="741161"/>
        </a:xfrm>
        <a:prstGeom prst="rect">
          <a:avLst/>
        </a:prstGeom>
      </xdr:spPr>
    </xdr:pic>
    <xdr:clientData/>
  </xdr:twoCellAnchor>
  <xdr:twoCellAnchor editAs="oneCell">
    <xdr:from>
      <xdr:col>2</xdr:col>
      <xdr:colOff>1257697</xdr:colOff>
      <xdr:row>36</xdr:row>
      <xdr:rowOff>163371</xdr:rowOff>
    </xdr:from>
    <xdr:to>
      <xdr:col>2</xdr:col>
      <xdr:colOff>1818578</xdr:colOff>
      <xdr:row>40</xdr:row>
      <xdr:rowOff>136436</xdr:rowOff>
    </xdr:to>
    <xdr:pic>
      <xdr:nvPicPr>
        <xdr:cNvPr id="65" name="Picture 64" descr="25.47" title="Tank Bn (AZ) (T72)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781697" y="9069246"/>
          <a:ext cx="560881" cy="735065"/>
        </a:xfrm>
        <a:prstGeom prst="rect">
          <a:avLst/>
        </a:prstGeom>
      </xdr:spPr>
    </xdr:pic>
    <xdr:clientData/>
  </xdr:twoCellAnchor>
  <xdr:twoCellAnchor editAs="oneCell">
    <xdr:from>
      <xdr:col>2</xdr:col>
      <xdr:colOff>1918668</xdr:colOff>
      <xdr:row>36</xdr:row>
      <xdr:rowOff>143190</xdr:rowOff>
    </xdr:from>
    <xdr:to>
      <xdr:col>2</xdr:col>
      <xdr:colOff>2473452</xdr:colOff>
      <xdr:row>40</xdr:row>
      <xdr:rowOff>122351</xdr:rowOff>
    </xdr:to>
    <xdr:pic>
      <xdr:nvPicPr>
        <xdr:cNvPr id="66" name="Picture 65" descr="5.22" title="Tank Co (AZ) (T72)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442668" y="9049065"/>
          <a:ext cx="554784" cy="741161"/>
        </a:xfrm>
        <a:prstGeom prst="rect">
          <a:avLst/>
        </a:prstGeom>
      </xdr:spPr>
    </xdr:pic>
    <xdr:clientData/>
  </xdr:twoCellAnchor>
  <xdr:twoCellAnchor editAs="oneCell">
    <xdr:from>
      <xdr:col>2</xdr:col>
      <xdr:colOff>2576060</xdr:colOff>
      <xdr:row>36</xdr:row>
      <xdr:rowOff>156401</xdr:rowOff>
    </xdr:from>
    <xdr:to>
      <xdr:col>2</xdr:col>
      <xdr:colOff>3130844</xdr:colOff>
      <xdr:row>40</xdr:row>
      <xdr:rowOff>135562</xdr:rowOff>
    </xdr:to>
    <xdr:pic>
      <xdr:nvPicPr>
        <xdr:cNvPr id="67" name="Picture 66" descr="2.032" title="FA Btry (D-30)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100060" y="9062276"/>
          <a:ext cx="554784" cy="741161"/>
        </a:xfrm>
        <a:prstGeom prst="rect">
          <a:avLst/>
        </a:prstGeom>
      </xdr:spPr>
    </xdr:pic>
    <xdr:clientData/>
  </xdr:twoCellAnchor>
  <xdr:twoCellAnchor editAs="oneCell">
    <xdr:from>
      <xdr:col>1</xdr:col>
      <xdr:colOff>64974</xdr:colOff>
      <xdr:row>40</xdr:row>
      <xdr:rowOff>116772</xdr:rowOff>
    </xdr:from>
    <xdr:to>
      <xdr:col>1</xdr:col>
      <xdr:colOff>612901</xdr:colOff>
      <xdr:row>44</xdr:row>
      <xdr:rowOff>83741</xdr:rowOff>
    </xdr:to>
    <xdr:pic>
      <xdr:nvPicPr>
        <xdr:cNvPr id="68" name="Picture 67" descr="64.8499" title="Mech Inf Bde (AZ)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31724" y="9784647"/>
          <a:ext cx="547927" cy="728969"/>
        </a:xfrm>
        <a:prstGeom prst="rect">
          <a:avLst/>
        </a:prstGeom>
      </xdr:spPr>
    </xdr:pic>
    <xdr:clientData/>
  </xdr:twoCellAnchor>
  <xdr:twoCellAnchor editAs="oneCell">
    <xdr:from>
      <xdr:col>1</xdr:col>
      <xdr:colOff>762796</xdr:colOff>
      <xdr:row>40</xdr:row>
      <xdr:rowOff>141515</xdr:rowOff>
    </xdr:from>
    <xdr:to>
      <xdr:col>2</xdr:col>
      <xdr:colOff>472523</xdr:colOff>
      <xdr:row>44</xdr:row>
      <xdr:rowOff>175546</xdr:rowOff>
    </xdr:to>
    <xdr:pic>
      <xdr:nvPicPr>
        <xdr:cNvPr id="69" name="Picture 68" descr="124.8861" title="Mech Inf Bde (AZ) (BMP-2/Leo I)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429546" y="9809390"/>
          <a:ext cx="566977" cy="796031"/>
        </a:xfrm>
        <a:prstGeom prst="rect">
          <a:avLst/>
        </a:prstGeom>
      </xdr:spPr>
    </xdr:pic>
    <xdr:clientData/>
  </xdr:twoCellAnchor>
  <xdr:twoCellAnchor editAs="oneCell">
    <xdr:from>
      <xdr:col>2</xdr:col>
      <xdr:colOff>628652</xdr:colOff>
      <xdr:row>40</xdr:row>
      <xdr:rowOff>144695</xdr:rowOff>
    </xdr:from>
    <xdr:to>
      <xdr:col>2</xdr:col>
      <xdr:colOff>1195629</xdr:colOff>
      <xdr:row>44</xdr:row>
      <xdr:rowOff>123857</xdr:rowOff>
    </xdr:to>
    <xdr:pic>
      <xdr:nvPicPr>
        <xdr:cNvPr id="70" name="Picture 69" descr="36.3" title="Mech Inf Bn (AZ) BMP-2)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152652" y="9812570"/>
          <a:ext cx="566977" cy="741162"/>
        </a:xfrm>
        <a:prstGeom prst="rect">
          <a:avLst/>
        </a:prstGeom>
      </xdr:spPr>
    </xdr:pic>
    <xdr:clientData/>
  </xdr:twoCellAnchor>
  <xdr:twoCellAnchor editAs="oneCell">
    <xdr:from>
      <xdr:col>2</xdr:col>
      <xdr:colOff>1351023</xdr:colOff>
      <xdr:row>40</xdr:row>
      <xdr:rowOff>151667</xdr:rowOff>
    </xdr:from>
    <xdr:to>
      <xdr:col>2</xdr:col>
      <xdr:colOff>1918000</xdr:colOff>
      <xdr:row>44</xdr:row>
      <xdr:rowOff>130829</xdr:rowOff>
    </xdr:to>
    <xdr:pic>
      <xdr:nvPicPr>
        <xdr:cNvPr id="71" name="Picture 70" descr="7.1" title="Mech Inf Co (AZ) (BMP-2)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875023" y="9819542"/>
          <a:ext cx="566977" cy="741162"/>
        </a:xfrm>
        <a:prstGeom prst="rect">
          <a:avLst/>
        </a:prstGeom>
      </xdr:spPr>
    </xdr:pic>
    <xdr:clientData/>
  </xdr:twoCellAnchor>
  <xdr:twoCellAnchor editAs="oneCell">
    <xdr:from>
      <xdr:col>2</xdr:col>
      <xdr:colOff>2036518</xdr:colOff>
      <xdr:row>40</xdr:row>
      <xdr:rowOff>155856</xdr:rowOff>
    </xdr:from>
    <xdr:to>
      <xdr:col>2</xdr:col>
      <xdr:colOff>2603495</xdr:colOff>
      <xdr:row>44</xdr:row>
      <xdr:rowOff>122825</xdr:rowOff>
    </xdr:to>
    <xdr:pic>
      <xdr:nvPicPr>
        <xdr:cNvPr id="72" name="Picture 71" descr="74.2049" title="Tank Bde (AZ) (Leo I)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560518" y="9823731"/>
          <a:ext cx="566977" cy="728969"/>
        </a:xfrm>
        <a:prstGeom prst="rect">
          <a:avLst/>
        </a:prstGeom>
      </xdr:spPr>
    </xdr:pic>
    <xdr:clientData/>
  </xdr:twoCellAnchor>
  <xdr:twoCellAnchor editAs="oneCell">
    <xdr:from>
      <xdr:col>2</xdr:col>
      <xdr:colOff>2731389</xdr:colOff>
      <xdr:row>40</xdr:row>
      <xdr:rowOff>145878</xdr:rowOff>
    </xdr:from>
    <xdr:to>
      <xdr:col>2</xdr:col>
      <xdr:colOff>3286173</xdr:colOff>
      <xdr:row>44</xdr:row>
      <xdr:rowOff>118944</xdr:rowOff>
    </xdr:to>
    <xdr:pic>
      <xdr:nvPicPr>
        <xdr:cNvPr id="73" name="Picture 72" descr="34.78" title="Tank Bn (AZ) (Leo I)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255389" y="9813753"/>
          <a:ext cx="554784" cy="735066"/>
        </a:xfrm>
        <a:prstGeom prst="rect">
          <a:avLst/>
        </a:prstGeom>
      </xdr:spPr>
    </xdr:pic>
    <xdr:clientData/>
  </xdr:twoCellAnchor>
  <xdr:twoCellAnchor editAs="oneCell">
    <xdr:from>
      <xdr:col>2</xdr:col>
      <xdr:colOff>3389068</xdr:colOff>
      <xdr:row>40</xdr:row>
      <xdr:rowOff>164021</xdr:rowOff>
    </xdr:from>
    <xdr:to>
      <xdr:col>2</xdr:col>
      <xdr:colOff>3949949</xdr:colOff>
      <xdr:row>44</xdr:row>
      <xdr:rowOff>137087</xdr:rowOff>
    </xdr:to>
    <xdr:pic>
      <xdr:nvPicPr>
        <xdr:cNvPr id="74" name="Picture 73" descr="6.7" title="Tank Co (AZ) (Leo I)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913068" y="9831896"/>
          <a:ext cx="560881" cy="735066"/>
        </a:xfrm>
        <a:prstGeom prst="rect">
          <a:avLst/>
        </a:prstGeom>
      </xdr:spPr>
    </xdr:pic>
    <xdr:clientData/>
  </xdr:twoCellAnchor>
  <xdr:twoCellAnchor editAs="oneCell">
    <xdr:from>
      <xdr:col>2</xdr:col>
      <xdr:colOff>4010913</xdr:colOff>
      <xdr:row>40</xdr:row>
      <xdr:rowOff>169463</xdr:rowOff>
    </xdr:from>
    <xdr:to>
      <xdr:col>3</xdr:col>
      <xdr:colOff>81642</xdr:colOff>
      <xdr:row>44</xdr:row>
      <xdr:rowOff>130336</xdr:rowOff>
    </xdr:to>
    <xdr:pic>
      <xdr:nvPicPr>
        <xdr:cNvPr id="75" name="Picture 74" descr="129.5406" title="FA SP Bde (AZ)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534913" y="9837338"/>
          <a:ext cx="566529" cy="722873"/>
        </a:xfrm>
        <a:prstGeom prst="rect">
          <a:avLst/>
        </a:prstGeom>
      </xdr:spPr>
    </xdr:pic>
    <xdr:clientData/>
  </xdr:twoCellAnchor>
  <xdr:twoCellAnchor editAs="oneCell">
    <xdr:from>
      <xdr:col>3</xdr:col>
      <xdr:colOff>852694</xdr:colOff>
      <xdr:row>40</xdr:row>
      <xdr:rowOff>151773</xdr:rowOff>
    </xdr:from>
    <xdr:to>
      <xdr:col>5</xdr:col>
      <xdr:colOff>9317</xdr:colOff>
      <xdr:row>44</xdr:row>
      <xdr:rowOff>124839</xdr:rowOff>
    </xdr:to>
    <xdr:pic>
      <xdr:nvPicPr>
        <xdr:cNvPr id="76" name="Picture 75" descr="4.0992" title="FA SP Btry (AZ)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72494" y="9819648"/>
          <a:ext cx="537748" cy="735066"/>
        </a:xfrm>
        <a:prstGeom prst="rect">
          <a:avLst/>
        </a:prstGeom>
      </xdr:spPr>
    </xdr:pic>
    <xdr:clientData/>
  </xdr:twoCellAnchor>
  <xdr:twoCellAnchor editAs="oneCell">
    <xdr:from>
      <xdr:col>3</xdr:col>
      <xdr:colOff>252619</xdr:colOff>
      <xdr:row>40</xdr:row>
      <xdr:rowOff>155856</xdr:rowOff>
    </xdr:from>
    <xdr:to>
      <xdr:col>3</xdr:col>
      <xdr:colOff>803268</xdr:colOff>
      <xdr:row>44</xdr:row>
      <xdr:rowOff>128922</xdr:rowOff>
    </xdr:to>
    <xdr:pic>
      <xdr:nvPicPr>
        <xdr:cNvPr id="77" name="Picture 76" descr="20.7795" title="FA SP Bn (AZ)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272419" y="9823731"/>
          <a:ext cx="550649" cy="735066"/>
        </a:xfrm>
        <a:prstGeom prst="rect">
          <a:avLst/>
        </a:prstGeom>
      </xdr:spPr>
    </xdr:pic>
    <xdr:clientData/>
  </xdr:twoCellAnchor>
  <xdr:twoCellAnchor editAs="oneCell">
    <xdr:from>
      <xdr:col>2</xdr:col>
      <xdr:colOff>3321031</xdr:colOff>
      <xdr:row>36</xdr:row>
      <xdr:rowOff>150412</xdr:rowOff>
    </xdr:from>
    <xdr:to>
      <xdr:col>2</xdr:col>
      <xdr:colOff>3875815</xdr:colOff>
      <xdr:row>40</xdr:row>
      <xdr:rowOff>123477</xdr:rowOff>
    </xdr:to>
    <xdr:pic>
      <xdr:nvPicPr>
        <xdr:cNvPr id="78" name="Picture 77" descr="14.58" title="ADA Bn (AZ)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4845031" y="9056287"/>
          <a:ext cx="554784" cy="735065"/>
        </a:xfrm>
        <a:prstGeom prst="rect">
          <a:avLst/>
        </a:prstGeom>
      </xdr:spPr>
    </xdr:pic>
    <xdr:clientData/>
  </xdr:twoCellAnchor>
  <xdr:twoCellAnchor editAs="oneCell">
    <xdr:from>
      <xdr:col>2</xdr:col>
      <xdr:colOff>3960567</xdr:colOff>
      <xdr:row>36</xdr:row>
      <xdr:rowOff>130003</xdr:rowOff>
    </xdr:from>
    <xdr:to>
      <xdr:col>3</xdr:col>
      <xdr:colOff>13607</xdr:colOff>
      <xdr:row>40</xdr:row>
      <xdr:rowOff>103068</xdr:rowOff>
    </xdr:to>
    <xdr:pic>
      <xdr:nvPicPr>
        <xdr:cNvPr id="79" name="Picture 78" descr="6.363" title="ADA Btry (AZ)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484567" y="9035878"/>
          <a:ext cx="548840" cy="735065"/>
        </a:xfrm>
        <a:prstGeom prst="rect">
          <a:avLst/>
        </a:prstGeom>
      </xdr:spPr>
    </xdr:pic>
    <xdr:clientData/>
  </xdr:twoCellAnchor>
  <xdr:twoCellAnchor editAs="oneCell">
    <xdr:from>
      <xdr:col>8</xdr:col>
      <xdr:colOff>4482194</xdr:colOff>
      <xdr:row>16</xdr:row>
      <xdr:rowOff>27216</xdr:rowOff>
    </xdr:from>
    <xdr:to>
      <xdr:col>9</xdr:col>
      <xdr:colOff>500743</xdr:colOff>
      <xdr:row>21</xdr:row>
      <xdr:rowOff>51574</xdr:rowOff>
    </xdr:to>
    <xdr:pic>
      <xdr:nvPicPr>
        <xdr:cNvPr id="80" name="Picture 79" descr="8.87" title="Recon Co (BTR-80)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3911944" y="5123091"/>
          <a:ext cx="514349" cy="990465"/>
        </a:xfrm>
        <a:prstGeom prst="rect">
          <a:avLst/>
        </a:prstGeom>
      </xdr:spPr>
    </xdr:pic>
    <xdr:clientData/>
  </xdr:twoCellAnchor>
  <xdr:twoCellAnchor editAs="oneCell">
    <xdr:from>
      <xdr:col>8</xdr:col>
      <xdr:colOff>799284</xdr:colOff>
      <xdr:row>16</xdr:row>
      <xdr:rowOff>31297</xdr:rowOff>
    </xdr:from>
    <xdr:to>
      <xdr:col>8</xdr:col>
      <xdr:colOff>1341875</xdr:colOff>
      <xdr:row>21</xdr:row>
      <xdr:rowOff>61752</xdr:rowOff>
    </xdr:to>
    <xdr:pic>
      <xdr:nvPicPr>
        <xdr:cNvPr id="81" name="Picture 80" descr="8.67" title="Infantry Co (BTR-80)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29034" y="5127172"/>
          <a:ext cx="542591" cy="99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1417320</xdr:colOff>
      <xdr:row>16</xdr:row>
      <xdr:rowOff>31025</xdr:rowOff>
    </xdr:from>
    <xdr:to>
      <xdr:col>8</xdr:col>
      <xdr:colOff>1959911</xdr:colOff>
      <xdr:row>20</xdr:row>
      <xdr:rowOff>161186</xdr:rowOff>
    </xdr:to>
    <xdr:pic>
      <xdr:nvPicPr>
        <xdr:cNvPr id="82" name="Picture 81" descr="25.47" title="Tank Bn (T-72A)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0847070" y="5126900"/>
          <a:ext cx="542591" cy="905768"/>
        </a:xfrm>
        <a:prstGeom prst="rect">
          <a:avLst/>
        </a:prstGeom>
      </xdr:spPr>
    </xdr:pic>
    <xdr:clientData/>
  </xdr:twoCellAnchor>
  <xdr:twoCellAnchor editAs="oneCell">
    <xdr:from>
      <xdr:col>8</xdr:col>
      <xdr:colOff>2055223</xdr:colOff>
      <xdr:row>16</xdr:row>
      <xdr:rowOff>28848</xdr:rowOff>
    </xdr:from>
    <xdr:to>
      <xdr:col>8</xdr:col>
      <xdr:colOff>2597814</xdr:colOff>
      <xdr:row>20</xdr:row>
      <xdr:rowOff>171202</xdr:rowOff>
    </xdr:to>
    <xdr:pic>
      <xdr:nvPicPr>
        <xdr:cNvPr id="83" name="Picture 82" descr="5.22" title="Tank Co (T-72A)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484973" y="5124723"/>
          <a:ext cx="542591" cy="917961"/>
        </a:xfrm>
        <a:prstGeom prst="rect">
          <a:avLst/>
        </a:prstGeom>
      </xdr:spPr>
    </xdr:pic>
    <xdr:clientData/>
  </xdr:twoCellAnchor>
  <xdr:twoCellAnchor editAs="oneCell">
    <xdr:from>
      <xdr:col>8</xdr:col>
      <xdr:colOff>2645229</xdr:colOff>
      <xdr:row>16</xdr:row>
      <xdr:rowOff>65859</xdr:rowOff>
    </xdr:from>
    <xdr:to>
      <xdr:col>8</xdr:col>
      <xdr:colOff>3187820</xdr:colOff>
      <xdr:row>21</xdr:row>
      <xdr:rowOff>47542</xdr:rowOff>
    </xdr:to>
    <xdr:pic>
      <xdr:nvPicPr>
        <xdr:cNvPr id="84" name="Picture 83" descr="21.42" title="FA Bn (G5)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2074979" y="5161734"/>
          <a:ext cx="542591" cy="947790"/>
        </a:xfrm>
        <a:prstGeom prst="rect">
          <a:avLst/>
        </a:prstGeom>
      </xdr:spPr>
    </xdr:pic>
    <xdr:clientData/>
  </xdr:twoCellAnchor>
  <xdr:twoCellAnchor editAs="oneCell">
    <xdr:from>
      <xdr:col>8</xdr:col>
      <xdr:colOff>3261361</xdr:colOff>
      <xdr:row>16</xdr:row>
      <xdr:rowOff>74568</xdr:rowOff>
    </xdr:from>
    <xdr:to>
      <xdr:col>8</xdr:col>
      <xdr:colOff>3797855</xdr:colOff>
      <xdr:row>21</xdr:row>
      <xdr:rowOff>50154</xdr:rowOff>
    </xdr:to>
    <xdr:pic>
      <xdr:nvPicPr>
        <xdr:cNvPr id="85" name="Picture 84" descr="4.26" title="FA Btry (G5)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2691111" y="5170443"/>
          <a:ext cx="536494" cy="941693"/>
        </a:xfrm>
        <a:prstGeom prst="rect">
          <a:avLst/>
        </a:prstGeom>
      </xdr:spPr>
    </xdr:pic>
    <xdr:clientData/>
  </xdr:twoCellAnchor>
  <xdr:twoCellAnchor editAs="oneCell">
    <xdr:from>
      <xdr:col>8</xdr:col>
      <xdr:colOff>3851367</xdr:colOff>
      <xdr:row>16</xdr:row>
      <xdr:rowOff>74568</xdr:rowOff>
    </xdr:from>
    <xdr:to>
      <xdr:col>8</xdr:col>
      <xdr:colOff>4393958</xdr:colOff>
      <xdr:row>20</xdr:row>
      <xdr:rowOff>149860</xdr:rowOff>
    </xdr:to>
    <xdr:pic>
      <xdr:nvPicPr>
        <xdr:cNvPr id="86" name="Picture 85" descr="3.24" title="SP Combo Gun Btry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3281117" y="5170443"/>
          <a:ext cx="542591" cy="850899"/>
        </a:xfrm>
        <a:prstGeom prst="rect">
          <a:avLst/>
        </a:prstGeom>
      </xdr:spPr>
    </xdr:pic>
    <xdr:clientData/>
  </xdr:twoCellAnchor>
  <xdr:twoCellAnchor editAs="oneCell">
    <xdr:from>
      <xdr:col>8</xdr:col>
      <xdr:colOff>147502</xdr:colOff>
      <xdr:row>16</xdr:row>
      <xdr:rowOff>39461</xdr:rowOff>
    </xdr:from>
    <xdr:to>
      <xdr:col>8</xdr:col>
      <xdr:colOff>690093</xdr:colOff>
      <xdr:row>21</xdr:row>
      <xdr:rowOff>57723</xdr:rowOff>
    </xdr:to>
    <xdr:pic>
      <xdr:nvPicPr>
        <xdr:cNvPr id="87" name="Picture 86" descr="42.9" title="Infantry Bn (BTR-80)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9577252" y="5135336"/>
          <a:ext cx="542591" cy="984369"/>
        </a:xfrm>
        <a:prstGeom prst="rect">
          <a:avLst/>
        </a:prstGeom>
      </xdr:spPr>
    </xdr:pic>
    <xdr:clientData/>
  </xdr:twoCellAnchor>
  <xdr:twoCellAnchor editAs="oneCell">
    <xdr:from>
      <xdr:col>7</xdr:col>
      <xdr:colOff>124460</xdr:colOff>
      <xdr:row>16</xdr:row>
      <xdr:rowOff>27214</xdr:rowOff>
    </xdr:from>
    <xdr:to>
      <xdr:col>7</xdr:col>
      <xdr:colOff>667051</xdr:colOff>
      <xdr:row>21</xdr:row>
      <xdr:rowOff>124731</xdr:rowOff>
    </xdr:to>
    <xdr:pic>
      <xdr:nvPicPr>
        <xdr:cNvPr id="88" name="Picture 87" descr="274.8" title="Infantry Bde (BTR-80/T-72A)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96960" y="5123089"/>
          <a:ext cx="542591" cy="1063624"/>
        </a:xfrm>
        <a:prstGeom prst="rect">
          <a:avLst/>
        </a:prstGeom>
      </xdr:spPr>
    </xdr:pic>
    <xdr:clientData/>
  </xdr:twoCellAnchor>
  <xdr:twoCellAnchor editAs="oneCell">
    <xdr:from>
      <xdr:col>11</xdr:col>
      <xdr:colOff>341270</xdr:colOff>
      <xdr:row>21</xdr:row>
      <xdr:rowOff>122466</xdr:rowOff>
    </xdr:from>
    <xdr:to>
      <xdr:col>12</xdr:col>
      <xdr:colOff>187175</xdr:colOff>
      <xdr:row>26</xdr:row>
      <xdr:rowOff>56791</xdr:rowOff>
    </xdr:to>
    <xdr:pic>
      <xdr:nvPicPr>
        <xdr:cNvPr id="89" name="Picture 88" descr="15.31" title="EN Co (BMP)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15800345" y="6170841"/>
          <a:ext cx="522180" cy="886825"/>
        </a:xfrm>
        <a:prstGeom prst="rect">
          <a:avLst/>
        </a:prstGeom>
      </xdr:spPr>
    </xdr:pic>
    <xdr:clientData/>
  </xdr:twoCellAnchor>
  <xdr:twoCellAnchor editAs="oneCell">
    <xdr:from>
      <xdr:col>10</xdr:col>
      <xdr:colOff>316233</xdr:colOff>
      <xdr:row>21</xdr:row>
      <xdr:rowOff>68036</xdr:rowOff>
    </xdr:from>
    <xdr:to>
      <xdr:col>11</xdr:col>
      <xdr:colOff>162138</xdr:colOff>
      <xdr:row>26</xdr:row>
      <xdr:rowOff>51133</xdr:rowOff>
    </xdr:to>
    <xdr:pic>
      <xdr:nvPicPr>
        <xdr:cNvPr id="90" name="Picture 89" descr="8.87" title="Recon Co (BMP)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15099033" y="6116411"/>
          <a:ext cx="522180" cy="935597"/>
        </a:xfrm>
        <a:prstGeom prst="rect">
          <a:avLst/>
        </a:prstGeom>
      </xdr:spPr>
    </xdr:pic>
    <xdr:clientData/>
  </xdr:twoCellAnchor>
  <xdr:twoCellAnchor editAs="oneCell">
    <xdr:from>
      <xdr:col>8</xdr:col>
      <xdr:colOff>2020389</xdr:colOff>
      <xdr:row>21</xdr:row>
      <xdr:rowOff>130628</xdr:rowOff>
    </xdr:from>
    <xdr:to>
      <xdr:col>8</xdr:col>
      <xdr:colOff>2562980</xdr:colOff>
      <xdr:row>26</xdr:row>
      <xdr:rowOff>95435</xdr:rowOff>
    </xdr:to>
    <xdr:pic>
      <xdr:nvPicPr>
        <xdr:cNvPr id="91" name="Picture 90" descr="41.12" title="Infantry Bn (BMP-3)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11450139" y="6179003"/>
          <a:ext cx="542591" cy="917307"/>
        </a:xfrm>
        <a:prstGeom prst="rect">
          <a:avLst/>
        </a:prstGeom>
      </xdr:spPr>
    </xdr:pic>
    <xdr:clientData/>
  </xdr:twoCellAnchor>
  <xdr:twoCellAnchor editAs="oneCell">
    <xdr:from>
      <xdr:col>8</xdr:col>
      <xdr:colOff>2647406</xdr:colOff>
      <xdr:row>21</xdr:row>
      <xdr:rowOff>133349</xdr:rowOff>
    </xdr:from>
    <xdr:to>
      <xdr:col>8</xdr:col>
      <xdr:colOff>3189997</xdr:colOff>
      <xdr:row>26</xdr:row>
      <xdr:rowOff>98156</xdr:rowOff>
    </xdr:to>
    <xdr:pic>
      <xdr:nvPicPr>
        <xdr:cNvPr id="92" name="Picture 91" descr="8.3" title="Infantry Co (BMP-3)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12077156" y="6181724"/>
          <a:ext cx="542591" cy="917307"/>
        </a:xfrm>
        <a:prstGeom prst="rect">
          <a:avLst/>
        </a:prstGeom>
      </xdr:spPr>
    </xdr:pic>
    <xdr:clientData/>
  </xdr:twoCellAnchor>
  <xdr:twoCellAnchor editAs="oneCell">
    <xdr:from>
      <xdr:col>8</xdr:col>
      <xdr:colOff>3261361</xdr:colOff>
      <xdr:row>21</xdr:row>
      <xdr:rowOff>127362</xdr:rowOff>
    </xdr:from>
    <xdr:to>
      <xdr:col>8</xdr:col>
      <xdr:colOff>3803952</xdr:colOff>
      <xdr:row>26</xdr:row>
      <xdr:rowOff>159231</xdr:rowOff>
    </xdr:to>
    <xdr:pic>
      <xdr:nvPicPr>
        <xdr:cNvPr id="93" name="Picture 92" descr="28.96" title="Tank Bn (T-80U)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12691111" y="6175737"/>
          <a:ext cx="542591" cy="984369"/>
        </a:xfrm>
        <a:prstGeom prst="rect">
          <a:avLst/>
        </a:prstGeom>
      </xdr:spPr>
    </xdr:pic>
    <xdr:clientData/>
  </xdr:twoCellAnchor>
  <xdr:twoCellAnchor editAs="oneCell">
    <xdr:from>
      <xdr:col>8</xdr:col>
      <xdr:colOff>3870417</xdr:colOff>
      <xdr:row>21</xdr:row>
      <xdr:rowOff>124641</xdr:rowOff>
    </xdr:from>
    <xdr:to>
      <xdr:col>8</xdr:col>
      <xdr:colOff>4413008</xdr:colOff>
      <xdr:row>26</xdr:row>
      <xdr:rowOff>95545</xdr:rowOff>
    </xdr:to>
    <xdr:pic>
      <xdr:nvPicPr>
        <xdr:cNvPr id="94" name="Picture 93" descr="6.34" title="Tank Co (T-80U)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13300167" y="6173016"/>
          <a:ext cx="542591" cy="923404"/>
        </a:xfrm>
        <a:prstGeom prst="rect">
          <a:avLst/>
        </a:prstGeom>
      </xdr:spPr>
    </xdr:pic>
    <xdr:clientData/>
  </xdr:twoCellAnchor>
  <xdr:twoCellAnchor editAs="oneCell">
    <xdr:from>
      <xdr:col>8</xdr:col>
      <xdr:colOff>4454981</xdr:colOff>
      <xdr:row>21</xdr:row>
      <xdr:rowOff>115933</xdr:rowOff>
    </xdr:from>
    <xdr:to>
      <xdr:col>9</xdr:col>
      <xdr:colOff>473530</xdr:colOff>
      <xdr:row>26</xdr:row>
      <xdr:rowOff>92933</xdr:rowOff>
    </xdr:to>
    <xdr:pic>
      <xdr:nvPicPr>
        <xdr:cNvPr id="95" name="Picture 94" descr="21.42" title="FA Bn (2S19)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884731" y="6164308"/>
          <a:ext cx="514349" cy="929500"/>
        </a:xfrm>
        <a:prstGeom prst="rect">
          <a:avLst/>
        </a:prstGeom>
      </xdr:spPr>
    </xdr:pic>
    <xdr:clientData/>
  </xdr:twoCellAnchor>
  <xdr:twoCellAnchor editAs="oneCell">
    <xdr:from>
      <xdr:col>9</xdr:col>
      <xdr:colOff>570414</xdr:colOff>
      <xdr:row>21</xdr:row>
      <xdr:rowOff>76744</xdr:rowOff>
    </xdr:from>
    <xdr:to>
      <xdr:col>10</xdr:col>
      <xdr:colOff>239427</xdr:colOff>
      <xdr:row>26</xdr:row>
      <xdr:rowOff>35455</xdr:rowOff>
    </xdr:to>
    <xdr:pic>
      <xdr:nvPicPr>
        <xdr:cNvPr id="96" name="Picture 95" descr="4.26" title="FA Btry (2S19)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14495964" y="6125119"/>
          <a:ext cx="526263" cy="911211"/>
        </a:xfrm>
        <a:prstGeom prst="rect">
          <a:avLst/>
        </a:prstGeom>
      </xdr:spPr>
    </xdr:pic>
    <xdr:clientData/>
  </xdr:twoCellAnchor>
  <xdr:twoCellAnchor editAs="oneCell">
    <xdr:from>
      <xdr:col>8</xdr:col>
      <xdr:colOff>74023</xdr:colOff>
      <xdr:row>21</xdr:row>
      <xdr:rowOff>147501</xdr:rowOff>
    </xdr:from>
    <xdr:to>
      <xdr:col>8</xdr:col>
      <xdr:colOff>616614</xdr:colOff>
      <xdr:row>26</xdr:row>
      <xdr:rowOff>118405</xdr:rowOff>
    </xdr:to>
    <xdr:pic>
      <xdr:nvPicPr>
        <xdr:cNvPr id="97" name="Picture 96" descr="36.3" title="Infantry Bn (BMP-2)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9503773" y="6195876"/>
          <a:ext cx="542591" cy="923404"/>
        </a:xfrm>
        <a:prstGeom prst="rect">
          <a:avLst/>
        </a:prstGeom>
      </xdr:spPr>
    </xdr:pic>
    <xdr:clientData/>
  </xdr:twoCellAnchor>
  <xdr:twoCellAnchor editAs="oneCell">
    <xdr:from>
      <xdr:col>8</xdr:col>
      <xdr:colOff>745672</xdr:colOff>
      <xdr:row>21</xdr:row>
      <xdr:rowOff>137159</xdr:rowOff>
    </xdr:from>
    <xdr:to>
      <xdr:col>8</xdr:col>
      <xdr:colOff>1288263</xdr:colOff>
      <xdr:row>26</xdr:row>
      <xdr:rowOff>101966</xdr:rowOff>
    </xdr:to>
    <xdr:pic>
      <xdr:nvPicPr>
        <xdr:cNvPr id="98" name="Picture 97" descr="7.1" title="Infantry Co (BMP-2)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0175422" y="6185534"/>
          <a:ext cx="542591" cy="917307"/>
        </a:xfrm>
        <a:prstGeom prst="rect">
          <a:avLst/>
        </a:prstGeom>
      </xdr:spPr>
    </xdr:pic>
    <xdr:clientData/>
  </xdr:twoCellAnchor>
  <xdr:twoCellAnchor editAs="oneCell">
    <xdr:from>
      <xdr:col>8</xdr:col>
      <xdr:colOff>1393372</xdr:colOff>
      <xdr:row>21</xdr:row>
      <xdr:rowOff>131988</xdr:rowOff>
    </xdr:from>
    <xdr:to>
      <xdr:col>8</xdr:col>
      <xdr:colOff>1935963</xdr:colOff>
      <xdr:row>27</xdr:row>
      <xdr:rowOff>44448</xdr:rowOff>
    </xdr:to>
    <xdr:pic>
      <xdr:nvPicPr>
        <xdr:cNvPr id="99" name="Picture 98" descr="269.35" title="Infantry Bde (BMP-3/T-80U)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10823122" y="6180363"/>
          <a:ext cx="542591" cy="1069067"/>
        </a:xfrm>
        <a:prstGeom prst="rect">
          <a:avLst/>
        </a:prstGeom>
      </xdr:spPr>
    </xdr:pic>
    <xdr:clientData/>
  </xdr:twoCellAnchor>
  <xdr:twoCellAnchor editAs="oneCell">
    <xdr:from>
      <xdr:col>7</xdr:col>
      <xdr:colOff>94887</xdr:colOff>
      <xdr:row>21</xdr:row>
      <xdr:rowOff>152400</xdr:rowOff>
    </xdr:from>
    <xdr:to>
      <xdr:col>7</xdr:col>
      <xdr:colOff>625031</xdr:colOff>
      <xdr:row>27</xdr:row>
      <xdr:rowOff>58763</xdr:rowOff>
    </xdr:to>
    <xdr:pic>
      <xdr:nvPicPr>
        <xdr:cNvPr id="100" name="Picture 99" descr="251.05" title="Infantry Bde (BMP-2/T-80U)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8667387" y="6200775"/>
          <a:ext cx="530144" cy="1062970"/>
        </a:xfrm>
        <a:prstGeom prst="rect">
          <a:avLst/>
        </a:prstGeom>
      </xdr:spPr>
    </xdr:pic>
    <xdr:clientData/>
  </xdr:twoCellAnchor>
  <xdr:twoCellAnchor editAs="oneCell">
    <xdr:from>
      <xdr:col>10</xdr:col>
      <xdr:colOff>296363</xdr:colOff>
      <xdr:row>27</xdr:row>
      <xdr:rowOff>124098</xdr:rowOff>
    </xdr:from>
    <xdr:to>
      <xdr:col>11</xdr:col>
      <xdr:colOff>142268</xdr:colOff>
      <xdr:row>32</xdr:row>
      <xdr:rowOff>161410</xdr:rowOff>
    </xdr:to>
    <xdr:pic>
      <xdr:nvPicPr>
        <xdr:cNvPr id="101" name="Picture 100" descr="28.79" title="Tank Bn (T-72B)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15079163" y="7315473"/>
          <a:ext cx="522180" cy="989812"/>
        </a:xfrm>
        <a:prstGeom prst="rect">
          <a:avLst/>
        </a:prstGeom>
      </xdr:spPr>
    </xdr:pic>
    <xdr:clientData/>
  </xdr:twoCellAnchor>
  <xdr:twoCellAnchor editAs="oneCell">
    <xdr:from>
      <xdr:col>11</xdr:col>
      <xdr:colOff>202202</xdr:colOff>
      <xdr:row>27</xdr:row>
      <xdr:rowOff>112124</xdr:rowOff>
    </xdr:from>
    <xdr:to>
      <xdr:col>12</xdr:col>
      <xdr:colOff>48107</xdr:colOff>
      <xdr:row>32</xdr:row>
      <xdr:rowOff>83028</xdr:rowOff>
    </xdr:to>
    <xdr:pic>
      <xdr:nvPicPr>
        <xdr:cNvPr id="102" name="Picture 101" descr="6.29" title="Tank Co (T-72B)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15661277" y="7303499"/>
          <a:ext cx="522180" cy="923404"/>
        </a:xfrm>
        <a:prstGeom prst="rect">
          <a:avLst/>
        </a:prstGeom>
      </xdr:spPr>
    </xdr:pic>
    <xdr:clientData/>
  </xdr:twoCellAnchor>
  <xdr:twoCellAnchor editAs="oneCell">
    <xdr:from>
      <xdr:col>8</xdr:col>
      <xdr:colOff>1360442</xdr:colOff>
      <xdr:row>27</xdr:row>
      <xdr:rowOff>138793</xdr:rowOff>
    </xdr:from>
    <xdr:to>
      <xdr:col>8</xdr:col>
      <xdr:colOff>1903033</xdr:colOff>
      <xdr:row>32</xdr:row>
      <xdr:rowOff>97504</xdr:rowOff>
    </xdr:to>
    <xdr:pic>
      <xdr:nvPicPr>
        <xdr:cNvPr id="103" name="Picture 102" descr="28.01" title="Tank Bn (T-90)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10790192" y="7330168"/>
          <a:ext cx="542591" cy="911211"/>
        </a:xfrm>
        <a:prstGeom prst="rect">
          <a:avLst/>
        </a:prstGeom>
      </xdr:spPr>
    </xdr:pic>
    <xdr:clientData/>
  </xdr:twoCellAnchor>
  <xdr:twoCellAnchor editAs="oneCell">
    <xdr:from>
      <xdr:col>8</xdr:col>
      <xdr:colOff>1997256</xdr:colOff>
      <xdr:row>27</xdr:row>
      <xdr:rowOff>125186</xdr:rowOff>
    </xdr:from>
    <xdr:to>
      <xdr:col>8</xdr:col>
      <xdr:colOff>2539847</xdr:colOff>
      <xdr:row>32</xdr:row>
      <xdr:rowOff>96090</xdr:rowOff>
    </xdr:to>
    <xdr:pic>
      <xdr:nvPicPr>
        <xdr:cNvPr id="104" name="Picture 103" descr="6.04" title="Tank Co (T-90)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11427006" y="7316561"/>
          <a:ext cx="542591" cy="923404"/>
        </a:xfrm>
        <a:prstGeom prst="rect">
          <a:avLst/>
        </a:prstGeom>
      </xdr:spPr>
    </xdr:pic>
    <xdr:clientData/>
  </xdr:twoCellAnchor>
  <xdr:twoCellAnchor editAs="oneCell">
    <xdr:from>
      <xdr:col>8</xdr:col>
      <xdr:colOff>2630260</xdr:colOff>
      <xdr:row>27</xdr:row>
      <xdr:rowOff>139337</xdr:rowOff>
    </xdr:from>
    <xdr:to>
      <xdr:col>8</xdr:col>
      <xdr:colOff>3172851</xdr:colOff>
      <xdr:row>32</xdr:row>
      <xdr:rowOff>116337</xdr:rowOff>
    </xdr:to>
    <xdr:pic>
      <xdr:nvPicPr>
        <xdr:cNvPr id="105" name="Picture 104" descr="7.24" title="Recon Co (Tank)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12060010" y="7330712"/>
          <a:ext cx="542591" cy="929500"/>
        </a:xfrm>
        <a:prstGeom prst="rect">
          <a:avLst/>
        </a:prstGeom>
      </xdr:spPr>
    </xdr:pic>
    <xdr:clientData/>
  </xdr:twoCellAnchor>
  <xdr:twoCellAnchor editAs="oneCell">
    <xdr:from>
      <xdr:col>8</xdr:col>
      <xdr:colOff>4450624</xdr:colOff>
      <xdr:row>27</xdr:row>
      <xdr:rowOff>146957</xdr:rowOff>
    </xdr:from>
    <xdr:to>
      <xdr:col>9</xdr:col>
      <xdr:colOff>503464</xdr:colOff>
      <xdr:row>31</xdr:row>
      <xdr:rowOff>95250</xdr:rowOff>
    </xdr:to>
    <xdr:pic>
      <xdr:nvPicPr>
        <xdr:cNvPr id="106" name="Picture 105" descr="31.55" title="Inf Bn (Mtr)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2"/>
        <a:srcRect r="-4295" b="23078"/>
        <a:stretch/>
      </xdr:blipFill>
      <xdr:spPr>
        <a:xfrm>
          <a:off x="13880374" y="7338332"/>
          <a:ext cx="548640" cy="710293"/>
        </a:xfrm>
        <a:prstGeom prst="rect">
          <a:avLst/>
        </a:prstGeom>
      </xdr:spPr>
    </xdr:pic>
    <xdr:clientData/>
  </xdr:twoCellAnchor>
  <xdr:twoCellAnchor editAs="oneCell">
    <xdr:from>
      <xdr:col>9</xdr:col>
      <xdr:colOff>547278</xdr:colOff>
      <xdr:row>27</xdr:row>
      <xdr:rowOff>107769</xdr:rowOff>
    </xdr:from>
    <xdr:to>
      <xdr:col>10</xdr:col>
      <xdr:colOff>244929</xdr:colOff>
      <xdr:row>31</xdr:row>
      <xdr:rowOff>54428</xdr:rowOff>
    </xdr:to>
    <xdr:pic>
      <xdr:nvPicPr>
        <xdr:cNvPr id="107" name="Picture 106" descr="5.57" title="Inf Co (Mtr)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/>
        <a:srcRect l="1" r="-5442" b="23760"/>
        <a:stretch/>
      </xdr:blipFill>
      <xdr:spPr>
        <a:xfrm>
          <a:off x="14472828" y="7299144"/>
          <a:ext cx="554901" cy="708659"/>
        </a:xfrm>
        <a:prstGeom prst="rect">
          <a:avLst/>
        </a:prstGeom>
      </xdr:spPr>
    </xdr:pic>
    <xdr:clientData/>
  </xdr:twoCellAnchor>
  <xdr:twoCellAnchor editAs="oneCell">
    <xdr:from>
      <xdr:col>8</xdr:col>
      <xdr:colOff>3256189</xdr:colOff>
      <xdr:row>27</xdr:row>
      <xdr:rowOff>166551</xdr:rowOff>
    </xdr:from>
    <xdr:to>
      <xdr:col>8</xdr:col>
      <xdr:colOff>3798780</xdr:colOff>
      <xdr:row>32</xdr:row>
      <xdr:rowOff>106972</xdr:rowOff>
    </xdr:to>
    <xdr:pic>
      <xdr:nvPicPr>
        <xdr:cNvPr id="108" name="Picture 107" descr="16.13" title="Engineer Co (Tank)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12685939" y="7357926"/>
          <a:ext cx="542591" cy="892921"/>
        </a:xfrm>
        <a:prstGeom prst="rect">
          <a:avLst/>
        </a:prstGeom>
      </xdr:spPr>
    </xdr:pic>
    <xdr:clientData/>
  </xdr:twoCellAnchor>
  <xdr:twoCellAnchor editAs="oneCell">
    <xdr:from>
      <xdr:col>7</xdr:col>
      <xdr:colOff>102870</xdr:colOff>
      <xdr:row>27</xdr:row>
      <xdr:rowOff>119743</xdr:rowOff>
    </xdr:from>
    <xdr:to>
      <xdr:col>7</xdr:col>
      <xdr:colOff>639111</xdr:colOff>
      <xdr:row>33</xdr:row>
      <xdr:rowOff>39713</xdr:rowOff>
    </xdr:to>
    <xdr:pic>
      <xdr:nvPicPr>
        <xdr:cNvPr id="109" name="Picture 108" descr="211.95" title="Tank Bde (T72A/BMP-2)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8675370" y="7311118"/>
          <a:ext cx="536241" cy="1062970"/>
        </a:xfrm>
        <a:prstGeom prst="rect">
          <a:avLst/>
        </a:prstGeom>
      </xdr:spPr>
    </xdr:pic>
    <xdr:clientData/>
  </xdr:twoCellAnchor>
  <xdr:twoCellAnchor editAs="oneCell">
    <xdr:from>
      <xdr:col>8</xdr:col>
      <xdr:colOff>65314</xdr:colOff>
      <xdr:row>27</xdr:row>
      <xdr:rowOff>139791</xdr:rowOff>
    </xdr:from>
    <xdr:to>
      <xdr:col>8</xdr:col>
      <xdr:colOff>607905</xdr:colOff>
      <xdr:row>33</xdr:row>
      <xdr:rowOff>59761</xdr:rowOff>
    </xdr:to>
    <xdr:pic>
      <xdr:nvPicPr>
        <xdr:cNvPr id="110" name="Picture 109" descr="222.64" title="Tank Bde (T-80U/BMP-2)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9495064" y="7331166"/>
          <a:ext cx="542591" cy="1062970"/>
        </a:xfrm>
        <a:prstGeom prst="rect">
          <a:avLst/>
        </a:prstGeom>
      </xdr:spPr>
    </xdr:pic>
    <xdr:clientData/>
  </xdr:twoCellAnchor>
  <xdr:twoCellAnchor editAs="oneCell">
    <xdr:from>
      <xdr:col>8</xdr:col>
      <xdr:colOff>726712</xdr:colOff>
      <xdr:row>27</xdr:row>
      <xdr:rowOff>141787</xdr:rowOff>
    </xdr:from>
    <xdr:to>
      <xdr:col>8</xdr:col>
      <xdr:colOff>1262953</xdr:colOff>
      <xdr:row>33</xdr:row>
      <xdr:rowOff>61757</xdr:rowOff>
    </xdr:to>
    <xdr:pic>
      <xdr:nvPicPr>
        <xdr:cNvPr id="111" name="Picture 110" descr="230.49" title="Tank Bde (T-90/BMP-3)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10156462" y="7333162"/>
          <a:ext cx="536241" cy="1062970"/>
        </a:xfrm>
        <a:prstGeom prst="rect">
          <a:avLst/>
        </a:prstGeom>
      </xdr:spPr>
    </xdr:pic>
    <xdr:clientData/>
  </xdr:twoCellAnchor>
  <xdr:twoCellAnchor editAs="oneCell">
    <xdr:from>
      <xdr:col>8</xdr:col>
      <xdr:colOff>3871413</xdr:colOff>
      <xdr:row>27</xdr:row>
      <xdr:rowOff>149135</xdr:rowOff>
    </xdr:from>
    <xdr:to>
      <xdr:col>8</xdr:col>
      <xdr:colOff>4435929</xdr:colOff>
      <xdr:row>31</xdr:row>
      <xdr:rowOff>95251</xdr:rowOff>
    </xdr:to>
    <xdr:pic>
      <xdr:nvPicPr>
        <xdr:cNvPr id="112" name="Picture 111" descr="240.18" title="Inf Bde (Mtr)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8"/>
        <a:srcRect r="-5272" b="24314"/>
        <a:stretch/>
      </xdr:blipFill>
      <xdr:spPr>
        <a:xfrm>
          <a:off x="13301163" y="7340510"/>
          <a:ext cx="564516" cy="708116"/>
        </a:xfrm>
        <a:prstGeom prst="rect">
          <a:avLst/>
        </a:prstGeom>
      </xdr:spPr>
    </xdr:pic>
    <xdr:clientData/>
  </xdr:twoCellAnchor>
  <xdr:twoCellAnchor editAs="oneCell">
    <xdr:from>
      <xdr:col>8</xdr:col>
      <xdr:colOff>4389061</xdr:colOff>
      <xdr:row>33</xdr:row>
      <xdr:rowOff>134379</xdr:rowOff>
    </xdr:from>
    <xdr:to>
      <xdr:col>9</xdr:col>
      <xdr:colOff>407610</xdr:colOff>
      <xdr:row>37</xdr:row>
      <xdr:rowOff>52576</xdr:rowOff>
    </xdr:to>
    <xdr:pic>
      <xdr:nvPicPr>
        <xdr:cNvPr id="113" name="Picture 112" descr="15.98" title="Guerilla Bn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13818811" y="8468754"/>
          <a:ext cx="514349" cy="680197"/>
        </a:xfrm>
        <a:prstGeom prst="rect">
          <a:avLst/>
        </a:prstGeom>
      </xdr:spPr>
    </xdr:pic>
    <xdr:clientData/>
  </xdr:twoCellAnchor>
  <xdr:twoCellAnchor editAs="oneCell">
    <xdr:from>
      <xdr:col>9</xdr:col>
      <xdr:colOff>496148</xdr:colOff>
      <xdr:row>33</xdr:row>
      <xdr:rowOff>113878</xdr:rowOff>
    </xdr:from>
    <xdr:to>
      <xdr:col>10</xdr:col>
      <xdr:colOff>165161</xdr:colOff>
      <xdr:row>37</xdr:row>
      <xdr:rowOff>25979</xdr:rowOff>
    </xdr:to>
    <xdr:pic>
      <xdr:nvPicPr>
        <xdr:cNvPr id="114" name="Picture 113" descr="8.35" title="Guerilla Wpns Bn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14421698" y="8448253"/>
          <a:ext cx="526263" cy="674101"/>
        </a:xfrm>
        <a:prstGeom prst="rect">
          <a:avLst/>
        </a:prstGeom>
      </xdr:spPr>
    </xdr:pic>
    <xdr:clientData/>
  </xdr:twoCellAnchor>
  <xdr:twoCellAnchor editAs="oneCell">
    <xdr:from>
      <xdr:col>10</xdr:col>
      <xdr:colOff>245838</xdr:colOff>
      <xdr:row>33</xdr:row>
      <xdr:rowOff>90414</xdr:rowOff>
    </xdr:from>
    <xdr:to>
      <xdr:col>11</xdr:col>
      <xdr:colOff>91743</xdr:colOff>
      <xdr:row>37</xdr:row>
      <xdr:rowOff>8611</xdr:rowOff>
    </xdr:to>
    <xdr:pic>
      <xdr:nvPicPr>
        <xdr:cNvPr id="115" name="Picture 114" descr="3.94" title="Recon Co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15028638" y="8424789"/>
          <a:ext cx="522180" cy="680197"/>
        </a:xfrm>
        <a:prstGeom prst="rect">
          <a:avLst/>
        </a:prstGeom>
      </xdr:spPr>
    </xdr:pic>
    <xdr:clientData/>
  </xdr:twoCellAnchor>
  <xdr:twoCellAnchor editAs="oneCell">
    <xdr:from>
      <xdr:col>11</xdr:col>
      <xdr:colOff>195038</xdr:colOff>
      <xdr:row>33</xdr:row>
      <xdr:rowOff>96462</xdr:rowOff>
    </xdr:from>
    <xdr:to>
      <xdr:col>12</xdr:col>
      <xdr:colOff>40943</xdr:colOff>
      <xdr:row>37</xdr:row>
      <xdr:rowOff>2466</xdr:rowOff>
    </xdr:to>
    <xdr:pic>
      <xdr:nvPicPr>
        <xdr:cNvPr id="116" name="Picture 115" descr="2.81" title="Sapper Co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15654113" y="8430837"/>
          <a:ext cx="522180" cy="668004"/>
        </a:xfrm>
        <a:prstGeom prst="rect">
          <a:avLst/>
        </a:prstGeom>
        <a:ln w="12700">
          <a:noFill/>
        </a:ln>
      </xdr:spPr>
    </xdr:pic>
    <xdr:clientData/>
  </xdr:twoCellAnchor>
  <xdr:twoCellAnchor editAs="oneCell">
    <xdr:from>
      <xdr:col>8</xdr:col>
      <xdr:colOff>2546351</xdr:colOff>
      <xdr:row>33</xdr:row>
      <xdr:rowOff>124097</xdr:rowOff>
    </xdr:from>
    <xdr:to>
      <xdr:col>8</xdr:col>
      <xdr:colOff>3082845</xdr:colOff>
      <xdr:row>37</xdr:row>
      <xdr:rowOff>103259</xdr:rowOff>
    </xdr:to>
    <xdr:pic>
      <xdr:nvPicPr>
        <xdr:cNvPr id="117" name="Picture 116" descr="30.3" title="Inf Bn (Light)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11976101" y="8458472"/>
          <a:ext cx="536494" cy="741162"/>
        </a:xfrm>
        <a:prstGeom prst="rect">
          <a:avLst/>
        </a:prstGeom>
      </xdr:spPr>
    </xdr:pic>
    <xdr:clientData/>
  </xdr:twoCellAnchor>
  <xdr:twoCellAnchor editAs="oneCell">
    <xdr:from>
      <xdr:col>8</xdr:col>
      <xdr:colOff>3171191</xdr:colOff>
      <xdr:row>33</xdr:row>
      <xdr:rowOff>114300</xdr:rowOff>
    </xdr:from>
    <xdr:to>
      <xdr:col>8</xdr:col>
      <xdr:colOff>3713782</xdr:colOff>
      <xdr:row>37</xdr:row>
      <xdr:rowOff>99559</xdr:rowOff>
    </xdr:to>
    <xdr:pic>
      <xdr:nvPicPr>
        <xdr:cNvPr id="118" name="Picture 117" descr="4.47" title="Inf Co (Light)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12600941" y="8448675"/>
          <a:ext cx="542591" cy="747259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</xdr:colOff>
      <xdr:row>33</xdr:row>
      <xdr:rowOff>123008</xdr:rowOff>
    </xdr:from>
    <xdr:to>
      <xdr:col>8</xdr:col>
      <xdr:colOff>581961</xdr:colOff>
      <xdr:row>38</xdr:row>
      <xdr:rowOff>45139</xdr:rowOff>
    </xdr:to>
    <xdr:pic>
      <xdr:nvPicPr>
        <xdr:cNvPr id="119" name="Picture 118" descr="2.73" title="FA Btry (G6 Rhino)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9469120" y="8457383"/>
          <a:ext cx="542591" cy="874631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33</xdr:row>
      <xdr:rowOff>97971</xdr:rowOff>
    </xdr:from>
    <xdr:to>
      <xdr:col>7</xdr:col>
      <xdr:colOff>650541</xdr:colOff>
      <xdr:row>38</xdr:row>
      <xdr:rowOff>26199</xdr:rowOff>
    </xdr:to>
    <xdr:pic>
      <xdr:nvPicPr>
        <xdr:cNvPr id="120" name="Picture 119" descr="16.85" title="FA Bn (G6 Rhino)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8680450" y="8432346"/>
          <a:ext cx="542591" cy="88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1292317</xdr:colOff>
      <xdr:row>33</xdr:row>
      <xdr:rowOff>127907</xdr:rowOff>
    </xdr:from>
    <xdr:to>
      <xdr:col>8</xdr:col>
      <xdr:colOff>1834908</xdr:colOff>
      <xdr:row>38</xdr:row>
      <xdr:rowOff>98811</xdr:rowOff>
    </xdr:to>
    <xdr:pic>
      <xdr:nvPicPr>
        <xdr:cNvPr id="121" name="Picture 120" descr="16.03" title="En Co (Mtr)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10722067" y="8462282"/>
          <a:ext cx="542591" cy="923404"/>
        </a:xfrm>
        <a:prstGeom prst="rect">
          <a:avLst/>
        </a:prstGeom>
      </xdr:spPr>
    </xdr:pic>
    <xdr:clientData/>
  </xdr:twoCellAnchor>
  <xdr:twoCellAnchor editAs="oneCell">
    <xdr:from>
      <xdr:col>8</xdr:col>
      <xdr:colOff>668565</xdr:colOff>
      <xdr:row>33</xdr:row>
      <xdr:rowOff>114300</xdr:rowOff>
    </xdr:from>
    <xdr:to>
      <xdr:col>8</xdr:col>
      <xdr:colOff>1211156</xdr:colOff>
      <xdr:row>38</xdr:row>
      <xdr:rowOff>85204</xdr:rowOff>
    </xdr:to>
    <xdr:pic>
      <xdr:nvPicPr>
        <xdr:cNvPr id="122" name="Picture 121" descr="9.83" title="Recon Co (Mtr)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10098315" y="8448675"/>
          <a:ext cx="542591" cy="923404"/>
        </a:xfrm>
        <a:prstGeom prst="rect">
          <a:avLst/>
        </a:prstGeom>
      </xdr:spPr>
    </xdr:pic>
    <xdr:clientData/>
  </xdr:twoCellAnchor>
  <xdr:twoCellAnchor editAs="oneCell">
    <xdr:from>
      <xdr:col>8</xdr:col>
      <xdr:colOff>1939291</xdr:colOff>
      <xdr:row>33</xdr:row>
      <xdr:rowOff>104865</xdr:rowOff>
    </xdr:from>
    <xdr:to>
      <xdr:col>8</xdr:col>
      <xdr:colOff>2469435</xdr:colOff>
      <xdr:row>37</xdr:row>
      <xdr:rowOff>84027</xdr:rowOff>
    </xdr:to>
    <xdr:pic>
      <xdr:nvPicPr>
        <xdr:cNvPr id="123" name="Picture 122" descr="192.89" title="Inf Bde (Light)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11369041" y="8439240"/>
          <a:ext cx="530144" cy="741162"/>
        </a:xfrm>
        <a:prstGeom prst="rect">
          <a:avLst/>
        </a:prstGeom>
      </xdr:spPr>
    </xdr:pic>
    <xdr:clientData/>
  </xdr:twoCellAnchor>
  <xdr:twoCellAnchor editAs="oneCell">
    <xdr:from>
      <xdr:col>8</xdr:col>
      <xdr:colOff>3799115</xdr:colOff>
      <xdr:row>33</xdr:row>
      <xdr:rowOff>104866</xdr:rowOff>
    </xdr:from>
    <xdr:to>
      <xdr:col>8</xdr:col>
      <xdr:colOff>4341706</xdr:colOff>
      <xdr:row>37</xdr:row>
      <xdr:rowOff>29160</xdr:rowOff>
    </xdr:to>
    <xdr:pic>
      <xdr:nvPicPr>
        <xdr:cNvPr id="124" name="Picture 123" descr="75.13" title="Guerilla Bde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13228865" y="8439241"/>
          <a:ext cx="542591" cy="686294"/>
        </a:xfrm>
        <a:prstGeom prst="rect">
          <a:avLst/>
        </a:prstGeom>
      </xdr:spPr>
    </xdr:pic>
    <xdr:clientData/>
  </xdr:twoCellAnchor>
  <xdr:twoCellAnchor editAs="oneCell">
    <xdr:from>
      <xdr:col>8</xdr:col>
      <xdr:colOff>2570117</xdr:colOff>
      <xdr:row>38</xdr:row>
      <xdr:rowOff>152398</xdr:rowOff>
    </xdr:from>
    <xdr:to>
      <xdr:col>8</xdr:col>
      <xdr:colOff>3112708</xdr:colOff>
      <xdr:row>42</xdr:row>
      <xdr:rowOff>58402</xdr:rowOff>
    </xdr:to>
    <xdr:pic>
      <xdr:nvPicPr>
        <xdr:cNvPr id="125" name="Picture 124" descr="29.71" title="AT Bn (Mech)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11999867" y="9439273"/>
          <a:ext cx="542591" cy="668004"/>
        </a:xfrm>
        <a:prstGeom prst="rect">
          <a:avLst/>
        </a:prstGeom>
      </xdr:spPr>
    </xdr:pic>
    <xdr:clientData/>
  </xdr:twoCellAnchor>
  <xdr:twoCellAnchor editAs="oneCell">
    <xdr:from>
      <xdr:col>8</xdr:col>
      <xdr:colOff>3174274</xdr:colOff>
      <xdr:row>38</xdr:row>
      <xdr:rowOff>161651</xdr:rowOff>
    </xdr:from>
    <xdr:to>
      <xdr:col>8</xdr:col>
      <xdr:colOff>3710768</xdr:colOff>
      <xdr:row>43</xdr:row>
      <xdr:rowOff>77687</xdr:rowOff>
    </xdr:to>
    <xdr:pic>
      <xdr:nvPicPr>
        <xdr:cNvPr id="126" name="Picture 125" descr="6.6" title="AT Btry MT-12R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12604024" y="9448526"/>
          <a:ext cx="536494" cy="868536"/>
        </a:xfrm>
        <a:prstGeom prst="rect">
          <a:avLst/>
        </a:prstGeom>
      </xdr:spPr>
    </xdr:pic>
    <xdr:clientData/>
  </xdr:twoCellAnchor>
  <xdr:twoCellAnchor editAs="oneCell">
    <xdr:from>
      <xdr:col>8</xdr:col>
      <xdr:colOff>3810544</xdr:colOff>
      <xdr:row>38</xdr:row>
      <xdr:rowOff>158385</xdr:rowOff>
    </xdr:from>
    <xdr:to>
      <xdr:col>8</xdr:col>
      <xdr:colOff>4353135</xdr:colOff>
      <xdr:row>43</xdr:row>
      <xdr:rowOff>178062</xdr:rowOff>
    </xdr:to>
    <xdr:pic>
      <xdr:nvPicPr>
        <xdr:cNvPr id="127" name="Picture 126" descr="4.29" title="AT Btry (AMX-10 HOT 3)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13240294" y="9445260"/>
          <a:ext cx="542591" cy="972177"/>
        </a:xfrm>
        <a:prstGeom prst="rect">
          <a:avLst/>
        </a:prstGeom>
      </xdr:spPr>
    </xdr:pic>
    <xdr:clientData/>
  </xdr:twoCellAnchor>
  <xdr:twoCellAnchor editAs="oneCell">
    <xdr:from>
      <xdr:col>8</xdr:col>
      <xdr:colOff>4389665</xdr:colOff>
      <xdr:row>38</xdr:row>
      <xdr:rowOff>163828</xdr:rowOff>
    </xdr:from>
    <xdr:to>
      <xdr:col>9</xdr:col>
      <xdr:colOff>408214</xdr:colOff>
      <xdr:row>42</xdr:row>
      <xdr:rowOff>63735</xdr:rowOff>
    </xdr:to>
    <xdr:pic>
      <xdr:nvPicPr>
        <xdr:cNvPr id="128" name="Picture 127" descr="15.49" title="AT Bn (Mtr)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13819415" y="9450703"/>
          <a:ext cx="514349" cy="661907"/>
        </a:xfrm>
        <a:prstGeom prst="rect">
          <a:avLst/>
        </a:prstGeom>
      </xdr:spPr>
    </xdr:pic>
    <xdr:clientData/>
  </xdr:twoCellAnchor>
  <xdr:twoCellAnchor editAs="oneCell">
    <xdr:from>
      <xdr:col>10</xdr:col>
      <xdr:colOff>250374</xdr:colOff>
      <xdr:row>38</xdr:row>
      <xdr:rowOff>86540</xdr:rowOff>
    </xdr:from>
    <xdr:to>
      <xdr:col>11</xdr:col>
      <xdr:colOff>96279</xdr:colOff>
      <xdr:row>41</xdr:row>
      <xdr:rowOff>170851</xdr:rowOff>
    </xdr:to>
    <xdr:pic>
      <xdr:nvPicPr>
        <xdr:cNvPr id="129" name="Picture 128" descr="1.88" title="ADA Btry (SP AA Gun)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15033174" y="9373415"/>
          <a:ext cx="522180" cy="655811"/>
        </a:xfrm>
        <a:prstGeom prst="rect">
          <a:avLst/>
        </a:prstGeom>
      </xdr:spPr>
    </xdr:pic>
    <xdr:clientData/>
  </xdr:twoCellAnchor>
  <xdr:twoCellAnchor editAs="oneCell">
    <xdr:from>
      <xdr:col>11</xdr:col>
      <xdr:colOff>164377</xdr:colOff>
      <xdr:row>38</xdr:row>
      <xdr:rowOff>101236</xdr:rowOff>
    </xdr:from>
    <xdr:to>
      <xdr:col>12</xdr:col>
      <xdr:colOff>10282</xdr:colOff>
      <xdr:row>43</xdr:row>
      <xdr:rowOff>35562</xdr:rowOff>
    </xdr:to>
    <xdr:pic>
      <xdr:nvPicPr>
        <xdr:cNvPr id="130" name="Picture 129" descr="3.43" title="ADA Btry (SA-15)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15623452" y="9388111"/>
          <a:ext cx="522180" cy="886826"/>
        </a:xfrm>
        <a:prstGeom prst="rect">
          <a:avLst/>
        </a:prstGeom>
      </xdr:spPr>
    </xdr:pic>
    <xdr:clientData/>
  </xdr:twoCellAnchor>
  <xdr:twoCellAnchor editAs="oneCell">
    <xdr:from>
      <xdr:col>7</xdr:col>
      <xdr:colOff>100693</xdr:colOff>
      <xdr:row>38</xdr:row>
      <xdr:rowOff>141514</xdr:rowOff>
    </xdr:from>
    <xdr:to>
      <xdr:col>7</xdr:col>
      <xdr:colOff>643284</xdr:colOff>
      <xdr:row>42</xdr:row>
      <xdr:rowOff>53615</xdr:rowOff>
    </xdr:to>
    <xdr:pic>
      <xdr:nvPicPr>
        <xdr:cNvPr id="131" name="Picture 130" descr="2.77" title="Guerilla Co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8673193" y="9428389"/>
          <a:ext cx="542591" cy="674101"/>
        </a:xfrm>
        <a:prstGeom prst="rect">
          <a:avLst/>
        </a:prstGeom>
      </xdr:spPr>
    </xdr:pic>
    <xdr:clientData/>
  </xdr:twoCellAnchor>
  <xdr:twoCellAnchor editAs="oneCell">
    <xdr:from>
      <xdr:col>8</xdr:col>
      <xdr:colOff>18505</xdr:colOff>
      <xdr:row>38</xdr:row>
      <xdr:rowOff>150767</xdr:rowOff>
    </xdr:from>
    <xdr:to>
      <xdr:col>8</xdr:col>
      <xdr:colOff>561096</xdr:colOff>
      <xdr:row>42</xdr:row>
      <xdr:rowOff>62868</xdr:rowOff>
    </xdr:to>
    <xdr:pic>
      <xdr:nvPicPr>
        <xdr:cNvPr id="132" name="Picture 131" descr="4.19" title="Weapons Co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9448255" y="9437642"/>
          <a:ext cx="542591" cy="674101"/>
        </a:xfrm>
        <a:prstGeom prst="rect">
          <a:avLst/>
        </a:prstGeom>
      </xdr:spPr>
    </xdr:pic>
    <xdr:clientData/>
  </xdr:twoCellAnchor>
  <xdr:twoCellAnchor editAs="oneCell">
    <xdr:from>
      <xdr:col>8</xdr:col>
      <xdr:colOff>666205</xdr:colOff>
      <xdr:row>38</xdr:row>
      <xdr:rowOff>119198</xdr:rowOff>
    </xdr:from>
    <xdr:to>
      <xdr:col>8</xdr:col>
      <xdr:colOff>1208796</xdr:colOff>
      <xdr:row>42</xdr:row>
      <xdr:rowOff>73974</xdr:rowOff>
    </xdr:to>
    <xdr:pic>
      <xdr:nvPicPr>
        <xdr:cNvPr id="133" name="Picture 132" descr="1.33" title="Guerilla Mortar Btry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10095955" y="9406073"/>
          <a:ext cx="542591" cy="71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1324791</xdr:colOff>
      <xdr:row>38</xdr:row>
      <xdr:rowOff>167639</xdr:rowOff>
    </xdr:from>
    <xdr:to>
      <xdr:col>8</xdr:col>
      <xdr:colOff>1861285</xdr:colOff>
      <xdr:row>42</xdr:row>
      <xdr:rowOff>91933</xdr:rowOff>
    </xdr:to>
    <xdr:pic>
      <xdr:nvPicPr>
        <xdr:cNvPr id="134" name="Picture 133" descr="2.22" title="Guerilla RL Btry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10754541" y="9454514"/>
          <a:ext cx="536494" cy="686294"/>
        </a:xfrm>
        <a:prstGeom prst="rect">
          <a:avLst/>
        </a:prstGeom>
      </xdr:spPr>
    </xdr:pic>
    <xdr:clientData/>
  </xdr:twoCellAnchor>
  <xdr:twoCellAnchor editAs="oneCell">
    <xdr:from>
      <xdr:col>8</xdr:col>
      <xdr:colOff>1948543</xdr:colOff>
      <xdr:row>38</xdr:row>
      <xdr:rowOff>158386</xdr:rowOff>
    </xdr:from>
    <xdr:to>
      <xdr:col>8</xdr:col>
      <xdr:colOff>2491134</xdr:colOff>
      <xdr:row>42</xdr:row>
      <xdr:rowOff>70487</xdr:rowOff>
    </xdr:to>
    <xdr:pic>
      <xdr:nvPicPr>
        <xdr:cNvPr id="135" name="Picture 134" descr="3.49" title="Guerilla AT Btry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11378293" y="9445261"/>
          <a:ext cx="542591" cy="674101"/>
        </a:xfrm>
        <a:prstGeom prst="rect">
          <a:avLst/>
        </a:prstGeom>
      </xdr:spPr>
    </xdr:pic>
    <xdr:clientData/>
  </xdr:twoCellAnchor>
  <xdr:twoCellAnchor editAs="oneCell">
    <xdr:from>
      <xdr:col>9</xdr:col>
      <xdr:colOff>517979</xdr:colOff>
      <xdr:row>38</xdr:row>
      <xdr:rowOff>112847</xdr:rowOff>
    </xdr:from>
    <xdr:to>
      <xdr:col>10</xdr:col>
      <xdr:colOff>180895</xdr:colOff>
      <xdr:row>42</xdr:row>
      <xdr:rowOff>6658</xdr:rowOff>
    </xdr:to>
    <xdr:pic>
      <xdr:nvPicPr>
        <xdr:cNvPr id="136" name="Picture 135" descr="18.04" title="ADA Bn (Mech)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14443529" y="9399722"/>
          <a:ext cx="520166" cy="655811"/>
        </a:xfrm>
        <a:prstGeom prst="rect">
          <a:avLst/>
        </a:prstGeom>
      </xdr:spPr>
    </xdr:pic>
    <xdr:clientData/>
  </xdr:twoCellAnchor>
  <xdr:twoCellAnchor editAs="oneCell">
    <xdr:from>
      <xdr:col>8</xdr:col>
      <xdr:colOff>1893025</xdr:colOff>
      <xdr:row>43</xdr:row>
      <xdr:rowOff>24493</xdr:rowOff>
    </xdr:from>
    <xdr:to>
      <xdr:col>8</xdr:col>
      <xdr:colOff>2435616</xdr:colOff>
      <xdr:row>47</xdr:row>
      <xdr:rowOff>178386</xdr:rowOff>
    </xdr:to>
    <xdr:pic>
      <xdr:nvPicPr>
        <xdr:cNvPr id="137" name="Picture 136" descr="21.88" title="FA Bn (2S1)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11322775" y="10263868"/>
          <a:ext cx="542591" cy="9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2528207</xdr:colOff>
      <xdr:row>43</xdr:row>
      <xdr:rowOff>35923</xdr:rowOff>
    </xdr:from>
    <xdr:to>
      <xdr:col>8</xdr:col>
      <xdr:colOff>3070798</xdr:colOff>
      <xdr:row>47</xdr:row>
      <xdr:rowOff>166084</xdr:rowOff>
    </xdr:to>
    <xdr:pic>
      <xdr:nvPicPr>
        <xdr:cNvPr id="138" name="Picture 137" descr="4.41" title="FA Btry (2S1)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11957957" y="10275298"/>
          <a:ext cx="542591" cy="901686"/>
        </a:xfrm>
        <a:prstGeom prst="rect">
          <a:avLst/>
        </a:prstGeom>
      </xdr:spPr>
    </xdr:pic>
    <xdr:clientData/>
  </xdr:twoCellAnchor>
  <xdr:twoCellAnchor editAs="oneCell">
    <xdr:from>
      <xdr:col>8</xdr:col>
      <xdr:colOff>4366261</xdr:colOff>
      <xdr:row>43</xdr:row>
      <xdr:rowOff>26669</xdr:rowOff>
    </xdr:from>
    <xdr:to>
      <xdr:col>9</xdr:col>
      <xdr:colOff>384810</xdr:colOff>
      <xdr:row>47</xdr:row>
      <xdr:rowOff>180562</xdr:rowOff>
    </xdr:to>
    <xdr:pic>
      <xdr:nvPicPr>
        <xdr:cNvPr id="139" name="Picture 138" descr="21.34" title="FA Bn (2S5)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13796011" y="10266044"/>
          <a:ext cx="514349" cy="925418"/>
        </a:xfrm>
        <a:prstGeom prst="rect">
          <a:avLst/>
        </a:prstGeom>
      </xdr:spPr>
    </xdr:pic>
    <xdr:clientData/>
  </xdr:twoCellAnchor>
  <xdr:twoCellAnchor editAs="oneCell">
    <xdr:from>
      <xdr:col>9</xdr:col>
      <xdr:colOff>485503</xdr:colOff>
      <xdr:row>42</xdr:row>
      <xdr:rowOff>189411</xdr:rowOff>
    </xdr:from>
    <xdr:to>
      <xdr:col>10</xdr:col>
      <xdr:colOff>154516</xdr:colOff>
      <xdr:row>47</xdr:row>
      <xdr:rowOff>129072</xdr:rowOff>
    </xdr:to>
    <xdr:pic>
      <xdr:nvPicPr>
        <xdr:cNvPr id="140" name="Picture 139" descr="4.23" title="FA Btry (2S5)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14411053" y="10238286"/>
          <a:ext cx="526263" cy="901686"/>
        </a:xfrm>
        <a:prstGeom prst="rect">
          <a:avLst/>
        </a:prstGeom>
      </xdr:spPr>
    </xdr:pic>
    <xdr:clientData/>
  </xdr:twoCellAnchor>
  <xdr:twoCellAnchor editAs="oneCell">
    <xdr:from>
      <xdr:col>11</xdr:col>
      <xdr:colOff>182337</xdr:colOff>
      <xdr:row>42</xdr:row>
      <xdr:rowOff>173081</xdr:rowOff>
    </xdr:from>
    <xdr:to>
      <xdr:col>12</xdr:col>
      <xdr:colOff>28242</xdr:colOff>
      <xdr:row>47</xdr:row>
      <xdr:rowOff>76162</xdr:rowOff>
    </xdr:to>
    <xdr:pic>
      <xdr:nvPicPr>
        <xdr:cNvPr id="141" name="Picture 140" descr="16.92" title="FA Bn (9P140/URAGAN/BM-27)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15641412" y="10221956"/>
          <a:ext cx="522180" cy="865106"/>
        </a:xfrm>
        <a:prstGeom prst="rect">
          <a:avLst/>
        </a:prstGeom>
      </xdr:spPr>
    </xdr:pic>
    <xdr:clientData/>
  </xdr:twoCellAnchor>
  <xdr:twoCellAnchor editAs="oneCell">
    <xdr:from>
      <xdr:col>8</xdr:col>
      <xdr:colOff>3173185</xdr:colOff>
      <xdr:row>43</xdr:row>
      <xdr:rowOff>11430</xdr:rowOff>
    </xdr:from>
    <xdr:to>
      <xdr:col>8</xdr:col>
      <xdr:colOff>3709679</xdr:colOff>
      <xdr:row>47</xdr:row>
      <xdr:rowOff>159880</xdr:rowOff>
    </xdr:to>
    <xdr:pic>
      <xdr:nvPicPr>
        <xdr:cNvPr id="142" name="Picture 141" descr="20.25" title="FA Bn (2S3)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12602935" y="10250805"/>
          <a:ext cx="536494" cy="919975"/>
        </a:xfrm>
        <a:prstGeom prst="rect">
          <a:avLst/>
        </a:prstGeom>
      </xdr:spPr>
    </xdr:pic>
    <xdr:clientData/>
  </xdr:twoCellAnchor>
  <xdr:twoCellAnchor editAs="oneCell">
    <xdr:from>
      <xdr:col>8</xdr:col>
      <xdr:colOff>3796393</xdr:colOff>
      <xdr:row>43</xdr:row>
      <xdr:rowOff>47352</xdr:rowOff>
    </xdr:from>
    <xdr:to>
      <xdr:col>8</xdr:col>
      <xdr:colOff>4338984</xdr:colOff>
      <xdr:row>48</xdr:row>
      <xdr:rowOff>1981</xdr:rowOff>
    </xdr:to>
    <xdr:pic>
      <xdr:nvPicPr>
        <xdr:cNvPr id="143" name="Picture 142" descr="3.83" title="FA Btry (2S3)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13226143" y="10286727"/>
          <a:ext cx="542591" cy="907129"/>
        </a:xfrm>
        <a:prstGeom prst="rect">
          <a:avLst/>
        </a:prstGeom>
      </xdr:spPr>
    </xdr:pic>
    <xdr:clientData/>
  </xdr:twoCellAnchor>
  <xdr:twoCellAnchor editAs="oneCell">
    <xdr:from>
      <xdr:col>7</xdr:col>
      <xdr:colOff>91440</xdr:colOff>
      <xdr:row>43</xdr:row>
      <xdr:rowOff>54429</xdr:rowOff>
    </xdr:from>
    <xdr:to>
      <xdr:col>7</xdr:col>
      <xdr:colOff>627934</xdr:colOff>
      <xdr:row>47</xdr:row>
      <xdr:rowOff>154107</xdr:rowOff>
    </xdr:to>
    <xdr:pic>
      <xdr:nvPicPr>
        <xdr:cNvPr id="144" name="Picture 143" descr="6.14" title="ADA Btry (SA-18)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8663940" y="10293804"/>
          <a:ext cx="536494" cy="871203"/>
        </a:xfrm>
        <a:prstGeom prst="rect">
          <a:avLst/>
        </a:prstGeom>
      </xdr:spPr>
    </xdr:pic>
    <xdr:clientData/>
  </xdr:twoCellAnchor>
  <xdr:twoCellAnchor editAs="oneCell">
    <xdr:from>
      <xdr:col>8</xdr:col>
      <xdr:colOff>22588</xdr:colOff>
      <xdr:row>43</xdr:row>
      <xdr:rowOff>70485</xdr:rowOff>
    </xdr:from>
    <xdr:to>
      <xdr:col>8</xdr:col>
      <xdr:colOff>559082</xdr:colOff>
      <xdr:row>46</xdr:row>
      <xdr:rowOff>129648</xdr:rowOff>
    </xdr:to>
    <xdr:pic>
      <xdr:nvPicPr>
        <xdr:cNvPr id="145" name="Picture 144" descr="21.28" title="ADA Bn (Mtr)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9452338" y="10309860"/>
          <a:ext cx="536494" cy="640188"/>
        </a:xfrm>
        <a:prstGeom prst="rect">
          <a:avLst/>
        </a:prstGeom>
      </xdr:spPr>
    </xdr:pic>
    <xdr:clientData/>
  </xdr:twoCellAnchor>
  <xdr:twoCellAnchor editAs="oneCell">
    <xdr:from>
      <xdr:col>8</xdr:col>
      <xdr:colOff>637358</xdr:colOff>
      <xdr:row>43</xdr:row>
      <xdr:rowOff>10885</xdr:rowOff>
    </xdr:from>
    <xdr:to>
      <xdr:col>8</xdr:col>
      <xdr:colOff>1179949</xdr:colOff>
      <xdr:row>47</xdr:row>
      <xdr:rowOff>49598</xdr:rowOff>
    </xdr:to>
    <xdr:pic>
      <xdr:nvPicPr>
        <xdr:cNvPr id="146" name="Picture 145" descr="2.2" title="ADA Btry (Skyguard)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xfrm>
          <a:off x="10067108" y="10250260"/>
          <a:ext cx="542591" cy="810238"/>
        </a:xfrm>
        <a:prstGeom prst="rect">
          <a:avLst/>
        </a:prstGeom>
      </xdr:spPr>
    </xdr:pic>
    <xdr:clientData/>
  </xdr:twoCellAnchor>
  <xdr:twoCellAnchor editAs="oneCell">
    <xdr:from>
      <xdr:col>8</xdr:col>
      <xdr:colOff>1277982</xdr:colOff>
      <xdr:row>43</xdr:row>
      <xdr:rowOff>43361</xdr:rowOff>
    </xdr:from>
    <xdr:to>
      <xdr:col>8</xdr:col>
      <xdr:colOff>1808126</xdr:colOff>
      <xdr:row>46</xdr:row>
      <xdr:rowOff>114717</xdr:rowOff>
    </xdr:to>
    <xdr:pic>
      <xdr:nvPicPr>
        <xdr:cNvPr id="147" name="Picture 146" descr="131.55" title="FA Bde (Mech Division)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10707732" y="10282736"/>
          <a:ext cx="530144" cy="6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254364</xdr:colOff>
      <xdr:row>42</xdr:row>
      <xdr:rowOff>157479</xdr:rowOff>
    </xdr:from>
    <xdr:to>
      <xdr:col>11</xdr:col>
      <xdr:colOff>87822</xdr:colOff>
      <xdr:row>46</xdr:row>
      <xdr:rowOff>38335</xdr:rowOff>
    </xdr:to>
    <xdr:pic>
      <xdr:nvPicPr>
        <xdr:cNvPr id="148" name="Picture 147" descr="104.15" title="FA Bde (MRL)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15037164" y="10206354"/>
          <a:ext cx="509733" cy="652381"/>
        </a:xfrm>
        <a:prstGeom prst="rect">
          <a:avLst/>
        </a:prstGeom>
      </xdr:spPr>
    </xdr:pic>
    <xdr:clientData/>
  </xdr:twoCellAnchor>
  <xdr:twoCellAnchor editAs="oneCell">
    <xdr:from>
      <xdr:col>9</xdr:col>
      <xdr:colOff>530679</xdr:colOff>
      <xdr:row>48</xdr:row>
      <xdr:rowOff>18507</xdr:rowOff>
    </xdr:from>
    <xdr:to>
      <xdr:col>10</xdr:col>
      <xdr:colOff>199692</xdr:colOff>
      <xdr:row>51</xdr:row>
      <xdr:rowOff>127858</xdr:rowOff>
    </xdr:to>
    <xdr:pic>
      <xdr:nvPicPr>
        <xdr:cNvPr id="149" name="Picture 148" descr="30.52" title="Recon Bn (Mech Division)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xfrm>
          <a:off x="14456229" y="11219907"/>
          <a:ext cx="526263" cy="680851"/>
        </a:xfrm>
        <a:prstGeom prst="rect">
          <a:avLst/>
        </a:prstGeom>
      </xdr:spPr>
    </xdr:pic>
    <xdr:clientData/>
  </xdr:twoCellAnchor>
  <xdr:twoCellAnchor editAs="oneCell">
    <xdr:from>
      <xdr:col>10</xdr:col>
      <xdr:colOff>318953</xdr:colOff>
      <xdr:row>47</xdr:row>
      <xdr:rowOff>187236</xdr:rowOff>
    </xdr:from>
    <xdr:to>
      <xdr:col>11</xdr:col>
      <xdr:colOff>164858</xdr:colOff>
      <xdr:row>51</xdr:row>
      <xdr:rowOff>93894</xdr:rowOff>
    </xdr:to>
    <xdr:pic>
      <xdr:nvPicPr>
        <xdr:cNvPr id="150" name="Picture 149" descr="34.38" title="EN Bn (Mech Division)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xfrm>
          <a:off x="15101753" y="11198136"/>
          <a:ext cx="522180" cy="668658"/>
        </a:xfrm>
        <a:prstGeom prst="rect">
          <a:avLst/>
        </a:prstGeom>
      </xdr:spPr>
    </xdr:pic>
    <xdr:clientData/>
  </xdr:twoCellAnchor>
  <xdr:twoCellAnchor editAs="oneCell">
    <xdr:from>
      <xdr:col>7</xdr:col>
      <xdr:colOff>52252</xdr:colOff>
      <xdr:row>48</xdr:row>
      <xdr:rowOff>0</xdr:rowOff>
    </xdr:from>
    <xdr:to>
      <xdr:col>7</xdr:col>
      <xdr:colOff>594843</xdr:colOff>
      <xdr:row>52</xdr:row>
      <xdr:rowOff>94995</xdr:rowOff>
    </xdr:to>
    <xdr:pic>
      <xdr:nvPicPr>
        <xdr:cNvPr id="151" name="Picture 150" descr="2.7" title="FA Btry (9P140/URAGAN/BM-27)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xfrm>
          <a:off x="8624752" y="11201400"/>
          <a:ext cx="542591" cy="856995"/>
        </a:xfrm>
        <a:prstGeom prst="rect">
          <a:avLst/>
        </a:prstGeom>
      </xdr:spPr>
    </xdr:pic>
    <xdr:clientData/>
  </xdr:twoCellAnchor>
  <xdr:twoCellAnchor editAs="oneCell">
    <xdr:from>
      <xdr:col>8</xdr:col>
      <xdr:colOff>630284</xdr:colOff>
      <xdr:row>48</xdr:row>
      <xdr:rowOff>37555</xdr:rowOff>
    </xdr:from>
    <xdr:to>
      <xdr:col>8</xdr:col>
      <xdr:colOff>1166778</xdr:colOff>
      <xdr:row>52</xdr:row>
      <xdr:rowOff>114261</xdr:rowOff>
    </xdr:to>
    <xdr:pic>
      <xdr:nvPicPr>
        <xdr:cNvPr id="152" name="Picture 151" descr="3.15" title="FA Btry (9A52-2/SMERCH-M/BM-30)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xfrm>
          <a:off x="10060034" y="11238955"/>
          <a:ext cx="536494" cy="838706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47</xdr:row>
      <xdr:rowOff>172538</xdr:rowOff>
    </xdr:from>
    <xdr:to>
      <xdr:col>8</xdr:col>
      <xdr:colOff>536495</xdr:colOff>
      <xdr:row>52</xdr:row>
      <xdr:rowOff>76380</xdr:rowOff>
    </xdr:to>
    <xdr:pic>
      <xdr:nvPicPr>
        <xdr:cNvPr id="153" name="Picture 152" descr="18.29" title="FA Bn (9A52-2/SMERCH-M/BM-30)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xfrm>
          <a:off x="9429751" y="11183438"/>
          <a:ext cx="536494" cy="856342"/>
        </a:xfrm>
        <a:prstGeom prst="rect">
          <a:avLst/>
        </a:prstGeom>
      </xdr:spPr>
    </xdr:pic>
    <xdr:clientData/>
  </xdr:twoCellAnchor>
  <xdr:twoCellAnchor editAs="oneCell">
    <xdr:from>
      <xdr:col>8</xdr:col>
      <xdr:colOff>1927861</xdr:colOff>
      <xdr:row>47</xdr:row>
      <xdr:rowOff>177981</xdr:rowOff>
    </xdr:from>
    <xdr:to>
      <xdr:col>8</xdr:col>
      <xdr:colOff>2464355</xdr:colOff>
      <xdr:row>52</xdr:row>
      <xdr:rowOff>57437</xdr:rowOff>
    </xdr:to>
    <xdr:pic>
      <xdr:nvPicPr>
        <xdr:cNvPr id="154" name="Picture 153" descr="3" title="FA Btry (WM-80)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11357611" y="11188881"/>
          <a:ext cx="536494" cy="83195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1274174</xdr:colOff>
      <xdr:row>48</xdr:row>
      <xdr:rowOff>8708</xdr:rowOff>
    </xdr:from>
    <xdr:to>
      <xdr:col>8</xdr:col>
      <xdr:colOff>1810668</xdr:colOff>
      <xdr:row>52</xdr:row>
      <xdr:rowOff>91510</xdr:rowOff>
    </xdr:to>
    <xdr:pic>
      <xdr:nvPicPr>
        <xdr:cNvPr id="155" name="Picture 154" descr="17.95" title="FA Bn (WM-80)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10703924" y="11210108"/>
          <a:ext cx="536494" cy="844802"/>
        </a:xfrm>
        <a:prstGeom prst="rect">
          <a:avLst/>
        </a:prstGeom>
      </xdr:spPr>
    </xdr:pic>
    <xdr:clientData/>
  </xdr:twoCellAnchor>
  <xdr:twoCellAnchor editAs="oneCell">
    <xdr:from>
      <xdr:col>8</xdr:col>
      <xdr:colOff>3202578</xdr:colOff>
      <xdr:row>48</xdr:row>
      <xdr:rowOff>25037</xdr:rowOff>
    </xdr:from>
    <xdr:to>
      <xdr:col>8</xdr:col>
      <xdr:colOff>3739072</xdr:colOff>
      <xdr:row>52</xdr:row>
      <xdr:rowOff>101743</xdr:rowOff>
    </xdr:to>
    <xdr:pic>
      <xdr:nvPicPr>
        <xdr:cNvPr id="156" name="Picture 155" descr="2.82" title="FA Btry (Fajr-3)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xfrm>
          <a:off x="12632328" y="11226437"/>
          <a:ext cx="536494" cy="838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2549435</xdr:colOff>
      <xdr:row>48</xdr:row>
      <xdr:rowOff>7076</xdr:rowOff>
    </xdr:from>
    <xdr:to>
      <xdr:col>8</xdr:col>
      <xdr:colOff>3092026</xdr:colOff>
      <xdr:row>52</xdr:row>
      <xdr:rowOff>95975</xdr:rowOff>
    </xdr:to>
    <xdr:pic>
      <xdr:nvPicPr>
        <xdr:cNvPr id="157" name="Picture 156" descr="18.03" title="FA Bn (Fajr-3)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11979185" y="11208476"/>
          <a:ext cx="542591" cy="850899"/>
        </a:xfrm>
        <a:prstGeom prst="rect">
          <a:avLst/>
        </a:prstGeom>
      </xdr:spPr>
    </xdr:pic>
    <xdr:clientData/>
  </xdr:twoCellAnchor>
  <xdr:twoCellAnchor editAs="oneCell">
    <xdr:from>
      <xdr:col>8</xdr:col>
      <xdr:colOff>4411436</xdr:colOff>
      <xdr:row>48</xdr:row>
      <xdr:rowOff>17962</xdr:rowOff>
    </xdr:from>
    <xdr:to>
      <xdr:col>9</xdr:col>
      <xdr:colOff>422352</xdr:colOff>
      <xdr:row>51</xdr:row>
      <xdr:rowOff>109023</xdr:rowOff>
    </xdr:to>
    <xdr:pic>
      <xdr:nvPicPr>
        <xdr:cNvPr id="158" name="Picture 157" descr="25.91" title="ADA Bde (Mech Division)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xfrm>
          <a:off x="13841186" y="11219362"/>
          <a:ext cx="506716" cy="662561"/>
        </a:xfrm>
        <a:prstGeom prst="rect">
          <a:avLst/>
        </a:prstGeom>
      </xdr:spPr>
    </xdr:pic>
    <xdr:clientData/>
  </xdr:twoCellAnchor>
  <xdr:twoCellAnchor editAs="oneCell">
    <xdr:from>
      <xdr:col>8</xdr:col>
      <xdr:colOff>3833224</xdr:colOff>
      <xdr:row>48</xdr:row>
      <xdr:rowOff>18506</xdr:rowOff>
    </xdr:from>
    <xdr:to>
      <xdr:col>8</xdr:col>
      <xdr:colOff>4375815</xdr:colOff>
      <xdr:row>51</xdr:row>
      <xdr:rowOff>103470</xdr:rowOff>
    </xdr:to>
    <xdr:pic>
      <xdr:nvPicPr>
        <xdr:cNvPr id="159" name="Picture 158" descr="122.8" title="FA Bde (Mtr Division)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13262974" y="11219906"/>
          <a:ext cx="542591" cy="656464"/>
        </a:xfrm>
        <a:prstGeom prst="rect">
          <a:avLst/>
        </a:prstGeom>
      </xdr:spPr>
    </xdr:pic>
    <xdr:clientData/>
  </xdr:twoCellAnchor>
  <xdr:twoCellAnchor editAs="oneCell">
    <xdr:from>
      <xdr:col>8</xdr:col>
      <xdr:colOff>3173277</xdr:colOff>
      <xdr:row>53</xdr:row>
      <xdr:rowOff>66311</xdr:rowOff>
    </xdr:from>
    <xdr:to>
      <xdr:col>8</xdr:col>
      <xdr:colOff>3715868</xdr:colOff>
      <xdr:row>56</xdr:row>
      <xdr:rowOff>84214</xdr:rowOff>
    </xdr:to>
    <xdr:pic>
      <xdr:nvPicPr>
        <xdr:cNvPr id="160" name="Picture 159" descr="7" title="CAS Sortie Equivalent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12603027" y="12220211"/>
          <a:ext cx="542591" cy="589403"/>
        </a:xfrm>
        <a:prstGeom prst="rect">
          <a:avLst/>
        </a:prstGeom>
      </xdr:spPr>
    </xdr:pic>
    <xdr:clientData/>
  </xdr:twoCellAnchor>
  <xdr:twoCellAnchor editAs="oneCell">
    <xdr:from>
      <xdr:col>8</xdr:col>
      <xdr:colOff>3806826</xdr:colOff>
      <xdr:row>53</xdr:row>
      <xdr:rowOff>116476</xdr:rowOff>
    </xdr:from>
    <xdr:to>
      <xdr:col>8</xdr:col>
      <xdr:colOff>4349417</xdr:colOff>
      <xdr:row>56</xdr:row>
      <xdr:rowOff>126759</xdr:rowOff>
    </xdr:to>
    <xdr:pic>
      <xdr:nvPicPr>
        <xdr:cNvPr id="161" name="Picture 160" descr="14" title="CAS Sortie x2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13236576" y="12270376"/>
          <a:ext cx="542591" cy="581783"/>
        </a:xfrm>
        <a:prstGeom prst="rect">
          <a:avLst/>
        </a:prstGeom>
      </xdr:spPr>
    </xdr:pic>
    <xdr:clientData/>
  </xdr:twoCellAnchor>
  <xdr:twoCellAnchor editAs="oneCell">
    <xdr:from>
      <xdr:col>8</xdr:col>
      <xdr:colOff>4390210</xdr:colOff>
      <xdr:row>53</xdr:row>
      <xdr:rowOff>90895</xdr:rowOff>
    </xdr:from>
    <xdr:to>
      <xdr:col>9</xdr:col>
      <xdr:colOff>408759</xdr:colOff>
      <xdr:row>56</xdr:row>
      <xdr:rowOff>108798</xdr:rowOff>
    </xdr:to>
    <xdr:pic>
      <xdr:nvPicPr>
        <xdr:cNvPr id="162" name="Picture 161" descr="35" title="CAS Sortie x5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13819960" y="12244795"/>
          <a:ext cx="514349" cy="589403"/>
        </a:xfrm>
        <a:prstGeom prst="rect">
          <a:avLst/>
        </a:prstGeom>
      </xdr:spPr>
    </xdr:pic>
    <xdr:clientData/>
  </xdr:twoCellAnchor>
  <xdr:twoCellAnchor editAs="oneCell">
    <xdr:from>
      <xdr:col>9</xdr:col>
      <xdr:colOff>561976</xdr:colOff>
      <xdr:row>53</xdr:row>
      <xdr:rowOff>52523</xdr:rowOff>
    </xdr:from>
    <xdr:to>
      <xdr:col>10</xdr:col>
      <xdr:colOff>230989</xdr:colOff>
      <xdr:row>56</xdr:row>
      <xdr:rowOff>64329</xdr:rowOff>
    </xdr:to>
    <xdr:pic>
      <xdr:nvPicPr>
        <xdr:cNvPr id="163" name="Picture 162" descr="70" title="CAS Sortie x10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14487526" y="12206423"/>
          <a:ext cx="526263" cy="583306"/>
        </a:xfrm>
        <a:prstGeom prst="rect">
          <a:avLst/>
        </a:prstGeom>
      </xdr:spPr>
    </xdr:pic>
    <xdr:clientData/>
  </xdr:twoCellAnchor>
  <xdr:twoCellAnchor editAs="oneCell">
    <xdr:from>
      <xdr:col>7</xdr:col>
      <xdr:colOff>43542</xdr:colOff>
      <xdr:row>53</xdr:row>
      <xdr:rowOff>21771</xdr:rowOff>
    </xdr:from>
    <xdr:to>
      <xdr:col>7</xdr:col>
      <xdr:colOff>586133</xdr:colOff>
      <xdr:row>57</xdr:row>
      <xdr:rowOff>128960</xdr:rowOff>
    </xdr:to>
    <xdr:pic>
      <xdr:nvPicPr>
        <xdr:cNvPr id="164" name="Picture 163" descr="9.98" title="AVN Bn (Mi-24D/E)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8616042" y="12175671"/>
          <a:ext cx="542591" cy="869189"/>
        </a:xfrm>
        <a:prstGeom prst="rect">
          <a:avLst/>
        </a:prstGeom>
      </xdr:spPr>
    </xdr:pic>
    <xdr:clientData/>
  </xdr:twoCellAnchor>
  <xdr:twoCellAnchor editAs="oneCell">
    <xdr:from>
      <xdr:col>8</xdr:col>
      <xdr:colOff>20682</xdr:colOff>
      <xdr:row>52</xdr:row>
      <xdr:rowOff>163829</xdr:rowOff>
    </xdr:from>
    <xdr:to>
      <xdr:col>8</xdr:col>
      <xdr:colOff>563273</xdr:colOff>
      <xdr:row>57</xdr:row>
      <xdr:rowOff>122541</xdr:rowOff>
    </xdr:to>
    <xdr:pic>
      <xdr:nvPicPr>
        <xdr:cNvPr id="165" name="Picture 164" descr="3.32" title="AVN Co (Mi-24D/E)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9450432" y="12127229"/>
          <a:ext cx="542591" cy="911212"/>
        </a:xfrm>
        <a:prstGeom prst="rect">
          <a:avLst/>
        </a:prstGeom>
      </xdr:spPr>
    </xdr:pic>
    <xdr:clientData/>
  </xdr:twoCellAnchor>
  <xdr:twoCellAnchor editAs="oneCell">
    <xdr:from>
      <xdr:col>8</xdr:col>
      <xdr:colOff>659129</xdr:colOff>
      <xdr:row>53</xdr:row>
      <xdr:rowOff>10885</xdr:rowOff>
    </xdr:from>
    <xdr:to>
      <xdr:col>8</xdr:col>
      <xdr:colOff>1201720</xdr:colOff>
      <xdr:row>57</xdr:row>
      <xdr:rowOff>124171</xdr:rowOff>
    </xdr:to>
    <xdr:pic>
      <xdr:nvPicPr>
        <xdr:cNvPr id="166" name="Picture 165" descr="15.42" title="AVN Bn (Mi-28)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10088879" y="12164785"/>
          <a:ext cx="542591" cy="875286"/>
        </a:xfrm>
        <a:prstGeom prst="rect">
          <a:avLst/>
        </a:prstGeom>
      </xdr:spPr>
    </xdr:pic>
    <xdr:clientData/>
  </xdr:twoCellAnchor>
  <xdr:twoCellAnchor editAs="oneCell">
    <xdr:from>
      <xdr:col>8</xdr:col>
      <xdr:colOff>1295399</xdr:colOff>
      <xdr:row>52</xdr:row>
      <xdr:rowOff>163013</xdr:rowOff>
    </xdr:from>
    <xdr:to>
      <xdr:col>8</xdr:col>
      <xdr:colOff>1837990</xdr:colOff>
      <xdr:row>57</xdr:row>
      <xdr:rowOff>115628</xdr:rowOff>
    </xdr:to>
    <xdr:pic>
      <xdr:nvPicPr>
        <xdr:cNvPr id="167" name="Picture 166" descr="5.14" title="AVN Co (Mi-28)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/>
        <a:stretch>
          <a:fillRect/>
        </a:stretch>
      </xdr:blipFill>
      <xdr:spPr>
        <a:xfrm>
          <a:off x="10725149" y="12126413"/>
          <a:ext cx="542591" cy="905115"/>
        </a:xfrm>
        <a:prstGeom prst="rect">
          <a:avLst/>
        </a:prstGeom>
      </xdr:spPr>
    </xdr:pic>
    <xdr:clientData/>
  </xdr:twoCellAnchor>
  <xdr:twoCellAnchor editAs="oneCell">
    <xdr:from>
      <xdr:col>8</xdr:col>
      <xdr:colOff>1922417</xdr:colOff>
      <xdr:row>53</xdr:row>
      <xdr:rowOff>9252</xdr:rowOff>
    </xdr:from>
    <xdr:to>
      <xdr:col>8</xdr:col>
      <xdr:colOff>2465008</xdr:colOff>
      <xdr:row>57</xdr:row>
      <xdr:rowOff>116441</xdr:rowOff>
    </xdr:to>
    <xdr:pic>
      <xdr:nvPicPr>
        <xdr:cNvPr id="168" name="Picture 167" descr="10.08" title="AVN Bn (Ka-50)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11352167" y="12163152"/>
          <a:ext cx="542591" cy="869189"/>
        </a:xfrm>
        <a:prstGeom prst="rect">
          <a:avLst/>
        </a:prstGeom>
      </xdr:spPr>
    </xdr:pic>
    <xdr:clientData/>
  </xdr:twoCellAnchor>
  <xdr:twoCellAnchor editAs="oneCell">
    <xdr:from>
      <xdr:col>8</xdr:col>
      <xdr:colOff>2571206</xdr:colOff>
      <xdr:row>52</xdr:row>
      <xdr:rowOff>179069</xdr:rowOff>
    </xdr:from>
    <xdr:to>
      <xdr:col>8</xdr:col>
      <xdr:colOff>3113797</xdr:colOff>
      <xdr:row>57</xdr:row>
      <xdr:rowOff>119491</xdr:rowOff>
    </xdr:to>
    <xdr:pic>
      <xdr:nvPicPr>
        <xdr:cNvPr id="169" name="Picture 168" descr="3.36" title="AVN Co (Ka-50)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/>
        <a:stretch>
          <a:fillRect/>
        </a:stretch>
      </xdr:blipFill>
      <xdr:spPr>
        <a:xfrm>
          <a:off x="12000956" y="12142469"/>
          <a:ext cx="542591" cy="8929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1295400</xdr:rowOff>
        </xdr:from>
        <xdr:to>
          <xdr:col>5</xdr:col>
          <xdr:colOff>628650</xdr:colOff>
          <xdr:row>3</xdr:row>
          <xdr:rowOff>1962150</xdr:rowOff>
        </xdr:to>
        <xdr:sp macro="" textlink="">
          <xdr:nvSpPr>
            <xdr:cNvPr id="12289" name="Go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108857</xdr:colOff>
      <xdr:row>16</xdr:row>
      <xdr:rowOff>27214</xdr:rowOff>
    </xdr:from>
    <xdr:to>
      <xdr:col>3</xdr:col>
      <xdr:colOff>669738</xdr:colOff>
      <xdr:row>18</xdr:row>
      <xdr:rowOff>144715</xdr:rowOff>
    </xdr:to>
    <xdr:pic>
      <xdr:nvPicPr>
        <xdr:cNvPr id="171" name="Picture 170" descr="18.79" title="EN Bn (SBCT)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/>
        <a:stretch>
          <a:fillRect/>
        </a:stretch>
      </xdr:blipFill>
      <xdr:spPr>
        <a:xfrm>
          <a:off x="6128657" y="5123089"/>
          <a:ext cx="560881" cy="512108"/>
        </a:xfrm>
        <a:prstGeom prst="rect">
          <a:avLst/>
        </a:prstGeom>
      </xdr:spPr>
    </xdr:pic>
    <xdr:clientData/>
  </xdr:twoCellAnchor>
  <xdr:twoCellAnchor editAs="oneCell">
    <xdr:from>
      <xdr:col>3</xdr:col>
      <xdr:colOff>802820</xdr:colOff>
      <xdr:row>16</xdr:row>
      <xdr:rowOff>13607</xdr:rowOff>
    </xdr:from>
    <xdr:to>
      <xdr:col>4</xdr:col>
      <xdr:colOff>506451</xdr:colOff>
      <xdr:row>18</xdr:row>
      <xdr:rowOff>131108</xdr:rowOff>
    </xdr:to>
    <xdr:pic>
      <xdr:nvPicPr>
        <xdr:cNvPr id="172" name="Picture 171" descr="6.45" title="EN A Co (SBCT)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/>
        <a:stretch>
          <a:fillRect/>
        </a:stretch>
      </xdr:blipFill>
      <xdr:spPr>
        <a:xfrm>
          <a:off x="6822620" y="5109482"/>
          <a:ext cx="560881" cy="5121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</xdr:row>
          <xdr:rowOff>57150</xdr:rowOff>
        </xdr:from>
        <xdr:to>
          <xdr:col>1</xdr:col>
          <xdr:colOff>819150</xdr:colOff>
          <xdr:row>3</xdr:row>
          <xdr:rowOff>57150</xdr:rowOff>
        </xdr:to>
        <xdr:sp macro="" textlink="">
          <xdr:nvSpPr>
            <xdr:cNvPr id="12290" name="Hasty_A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66675</xdr:rowOff>
        </xdr:from>
        <xdr:to>
          <xdr:col>1</xdr:col>
          <xdr:colOff>819150</xdr:colOff>
          <xdr:row>3</xdr:row>
          <xdr:rowOff>371475</xdr:rowOff>
        </xdr:to>
        <xdr:sp macro="" textlink="">
          <xdr:nvSpPr>
            <xdr:cNvPr id="12291" name="Hasty_D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400050</xdr:rowOff>
        </xdr:from>
        <xdr:to>
          <xdr:col>1</xdr:col>
          <xdr:colOff>819150</xdr:colOff>
          <xdr:row>3</xdr:row>
          <xdr:rowOff>914400</xdr:rowOff>
        </xdr:to>
        <xdr:sp macro="" textlink="">
          <xdr:nvSpPr>
            <xdr:cNvPr id="12292" name="Delib_A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933450</xdr:rowOff>
        </xdr:from>
        <xdr:to>
          <xdr:col>1</xdr:col>
          <xdr:colOff>819150</xdr:colOff>
          <xdr:row>3</xdr:row>
          <xdr:rowOff>1438275</xdr:rowOff>
        </xdr:to>
        <xdr:sp macro="" textlink="">
          <xdr:nvSpPr>
            <xdr:cNvPr id="12293" name="Delib_D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1466850</xdr:rowOff>
        </xdr:from>
        <xdr:to>
          <xdr:col>1</xdr:col>
          <xdr:colOff>819150</xdr:colOff>
          <xdr:row>3</xdr:row>
          <xdr:rowOff>1971675</xdr:rowOff>
        </xdr:to>
        <xdr:sp macro="" textlink="">
          <xdr:nvSpPr>
            <xdr:cNvPr id="12294" name="Meet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28575</xdr:rowOff>
        </xdr:from>
        <xdr:to>
          <xdr:col>12</xdr:col>
          <xdr:colOff>85725</xdr:colOff>
          <xdr:row>3</xdr:row>
          <xdr:rowOff>57150</xdr:rowOff>
        </xdr:to>
        <xdr:sp macro="" textlink="">
          <xdr:nvSpPr>
            <xdr:cNvPr id="12295" name="Hasty_A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114300</xdr:rowOff>
        </xdr:from>
        <xdr:to>
          <xdr:col>12</xdr:col>
          <xdr:colOff>95250</xdr:colOff>
          <xdr:row>3</xdr:row>
          <xdr:rowOff>447675</xdr:rowOff>
        </xdr:to>
        <xdr:sp macro="" textlink="">
          <xdr:nvSpPr>
            <xdr:cNvPr id="12296" name="Hasty_D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5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504825</xdr:rowOff>
        </xdr:from>
        <xdr:to>
          <xdr:col>12</xdr:col>
          <xdr:colOff>114300</xdr:colOff>
          <xdr:row>3</xdr:row>
          <xdr:rowOff>962025</xdr:rowOff>
        </xdr:to>
        <xdr:sp macro="" textlink="">
          <xdr:nvSpPr>
            <xdr:cNvPr id="12297" name="Delib_AE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1009650</xdr:rowOff>
        </xdr:from>
        <xdr:to>
          <xdr:col>12</xdr:col>
          <xdr:colOff>104775</xdr:colOff>
          <xdr:row>3</xdr:row>
          <xdr:rowOff>1457325</xdr:rowOff>
        </xdr:to>
        <xdr:sp macro="" textlink="">
          <xdr:nvSpPr>
            <xdr:cNvPr id="12298" name="Delib_DE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5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1514475</xdr:rowOff>
        </xdr:from>
        <xdr:to>
          <xdr:col>12</xdr:col>
          <xdr:colOff>104775</xdr:colOff>
          <xdr:row>3</xdr:row>
          <xdr:rowOff>1971675</xdr:rowOff>
        </xdr:to>
        <xdr:sp macro="" textlink="">
          <xdr:nvSpPr>
            <xdr:cNvPr id="12299" name="Meeting_E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5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3</xdr:col>
      <xdr:colOff>54429</xdr:colOff>
      <xdr:row>3</xdr:row>
      <xdr:rowOff>1156608</xdr:rowOff>
    </xdr:from>
    <xdr:ext cx="787267" cy="530658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 txBox="1"/>
      </xdr:nvSpPr>
      <xdr:spPr>
        <a:xfrm>
          <a:off x="6074229" y="1728108"/>
          <a:ext cx="7872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Friendly</a:t>
          </a:r>
        </a:p>
        <a:p>
          <a:pPr algn="ctr"/>
          <a:r>
            <a:rPr lang="en-US" sz="1400" b="1"/>
            <a:t>LOSSES</a:t>
          </a:r>
        </a:p>
      </xdr:txBody>
    </xdr:sp>
    <xdr:clientData/>
  </xdr:oneCellAnchor>
  <xdr:oneCellAnchor>
    <xdr:from>
      <xdr:col>9</xdr:col>
      <xdr:colOff>61515</xdr:colOff>
      <xdr:row>3</xdr:row>
      <xdr:rowOff>1172936</xdr:rowOff>
    </xdr:from>
    <xdr:ext cx="724109" cy="530658"/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 txBox="1"/>
      </xdr:nvSpPr>
      <xdr:spPr>
        <a:xfrm>
          <a:off x="13987065" y="1744436"/>
          <a:ext cx="724109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Enemy</a:t>
          </a:r>
        </a:p>
        <a:p>
          <a:pPr algn="ctr"/>
          <a:r>
            <a:rPr lang="en-US" sz="1400" b="1"/>
            <a:t>LOSSES</a:t>
          </a:r>
        </a:p>
      </xdr:txBody>
    </xdr:sp>
    <xdr:clientData/>
  </xdr:oneCellAnchor>
  <xdr:twoCellAnchor editAs="oneCell">
    <xdr:from>
      <xdr:col>5</xdr:col>
      <xdr:colOff>39088</xdr:colOff>
      <xdr:row>18</xdr:row>
      <xdr:rowOff>70757</xdr:rowOff>
    </xdr:from>
    <xdr:to>
      <xdr:col>5</xdr:col>
      <xdr:colOff>593112</xdr:colOff>
      <xdr:row>22</xdr:row>
      <xdr:rowOff>13339</xdr:rowOff>
    </xdr:to>
    <xdr:pic>
      <xdr:nvPicPr>
        <xdr:cNvPr id="185" name="Picture 184" descr="313.6" title="Armored Bde (GB)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7441374" y="5568043"/>
          <a:ext cx="554024" cy="704582"/>
        </a:xfrm>
        <a:prstGeom prst="rect">
          <a:avLst/>
        </a:prstGeom>
      </xdr:spPr>
    </xdr:pic>
    <xdr:clientData/>
  </xdr:twoCellAnchor>
  <xdr:twoCellAnchor editAs="oneCell">
    <xdr:from>
      <xdr:col>2</xdr:col>
      <xdr:colOff>294275</xdr:colOff>
      <xdr:row>3</xdr:row>
      <xdr:rowOff>174170</xdr:rowOff>
    </xdr:from>
    <xdr:to>
      <xdr:col>2</xdr:col>
      <xdr:colOff>830009</xdr:colOff>
      <xdr:row>3</xdr:row>
      <xdr:rowOff>672125</xdr:rowOff>
    </xdr:to>
    <xdr:pic>
      <xdr:nvPicPr>
        <xdr:cNvPr id="187" name="Picture 186" descr="37.24" title="Combined Arms Bn (M1A2)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8275" y="745670"/>
          <a:ext cx="535734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961025</xdr:colOff>
      <xdr:row>3</xdr:row>
      <xdr:rowOff>187776</xdr:rowOff>
    </xdr:from>
    <xdr:to>
      <xdr:col>2</xdr:col>
      <xdr:colOff>1496759</xdr:colOff>
      <xdr:row>3</xdr:row>
      <xdr:rowOff>685731</xdr:rowOff>
    </xdr:to>
    <xdr:pic>
      <xdr:nvPicPr>
        <xdr:cNvPr id="188" name="Picture 187" descr="37.24" title="Combined Arms Bn (M1A2)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485025" y="759276"/>
          <a:ext cx="535734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1627775</xdr:colOff>
      <xdr:row>3</xdr:row>
      <xdr:rowOff>201383</xdr:rowOff>
    </xdr:from>
    <xdr:to>
      <xdr:col>2</xdr:col>
      <xdr:colOff>2163509</xdr:colOff>
      <xdr:row>3</xdr:row>
      <xdr:rowOff>699338</xdr:rowOff>
    </xdr:to>
    <xdr:pic>
      <xdr:nvPicPr>
        <xdr:cNvPr id="189" name="Picture 188" descr="37.24" title="Combined Arms Bn (M1A2)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51775" y="772883"/>
          <a:ext cx="535734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294275</xdr:colOff>
      <xdr:row>3</xdr:row>
      <xdr:rowOff>786491</xdr:rowOff>
    </xdr:from>
    <xdr:to>
      <xdr:col>2</xdr:col>
      <xdr:colOff>830009</xdr:colOff>
      <xdr:row>3</xdr:row>
      <xdr:rowOff>1284446</xdr:rowOff>
    </xdr:to>
    <xdr:pic>
      <xdr:nvPicPr>
        <xdr:cNvPr id="191" name="Picture 190" descr="37.24" title="Combined Arms Bn (M1A2)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8275" y="1357991"/>
          <a:ext cx="535734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974631</xdr:colOff>
      <xdr:row>3</xdr:row>
      <xdr:rowOff>786491</xdr:rowOff>
    </xdr:from>
    <xdr:to>
      <xdr:col>2</xdr:col>
      <xdr:colOff>1510365</xdr:colOff>
      <xdr:row>3</xdr:row>
      <xdr:rowOff>1284446</xdr:rowOff>
    </xdr:to>
    <xdr:pic>
      <xdr:nvPicPr>
        <xdr:cNvPr id="192" name="Picture 191" descr="37.24" title="Combined Arms Bn (M1A2)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498631" y="1357991"/>
          <a:ext cx="535734" cy="497955"/>
        </a:xfrm>
        <a:prstGeom prst="rect">
          <a:avLst/>
        </a:prstGeom>
      </xdr:spPr>
    </xdr:pic>
    <xdr:clientData/>
  </xdr:twoCellAnchor>
  <xdr:twoCellAnchor editAs="oneCell">
    <xdr:from>
      <xdr:col>2</xdr:col>
      <xdr:colOff>1668596</xdr:colOff>
      <xdr:row>3</xdr:row>
      <xdr:rowOff>786492</xdr:rowOff>
    </xdr:from>
    <xdr:to>
      <xdr:col>2</xdr:col>
      <xdr:colOff>2204330</xdr:colOff>
      <xdr:row>3</xdr:row>
      <xdr:rowOff>1284447</xdr:rowOff>
    </xdr:to>
    <xdr:pic>
      <xdr:nvPicPr>
        <xdr:cNvPr id="193" name="Picture 192" descr="37.24" title="Combined Arms Bn (M1A2)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92596" y="1357992"/>
          <a:ext cx="535734" cy="497955"/>
        </a:xfrm>
        <a:prstGeom prst="rect">
          <a:avLst/>
        </a:prstGeom>
      </xdr:spPr>
    </xdr:pic>
    <xdr:clientData/>
  </xdr:twoCellAnchor>
  <xdr:twoCellAnchor editAs="oneCell">
    <xdr:from>
      <xdr:col>8</xdr:col>
      <xdr:colOff>247106</xdr:colOff>
      <xdr:row>3</xdr:row>
      <xdr:rowOff>99061</xdr:rowOff>
    </xdr:from>
    <xdr:to>
      <xdr:col>8</xdr:col>
      <xdr:colOff>789697</xdr:colOff>
      <xdr:row>3</xdr:row>
      <xdr:rowOff>1004829</xdr:rowOff>
    </xdr:to>
    <xdr:pic>
      <xdr:nvPicPr>
        <xdr:cNvPr id="194" name="Picture 193" descr="25.47" title="Tank Bn (T-72A)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676856" y="670561"/>
          <a:ext cx="542591" cy="905768"/>
        </a:xfrm>
        <a:prstGeom prst="rect">
          <a:avLst/>
        </a:prstGeom>
      </xdr:spPr>
    </xdr:pic>
    <xdr:clientData/>
  </xdr:twoCellAnchor>
  <xdr:twoCellAnchor editAs="oneCell">
    <xdr:from>
      <xdr:col>8</xdr:col>
      <xdr:colOff>999309</xdr:colOff>
      <xdr:row>3</xdr:row>
      <xdr:rowOff>93073</xdr:rowOff>
    </xdr:from>
    <xdr:to>
      <xdr:col>8</xdr:col>
      <xdr:colOff>1541900</xdr:colOff>
      <xdr:row>3</xdr:row>
      <xdr:rowOff>1016477</xdr:rowOff>
    </xdr:to>
    <xdr:pic>
      <xdr:nvPicPr>
        <xdr:cNvPr id="195" name="Picture 194" descr="36.3" title="Infantry Bn (BMP-2)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10429059" y="664573"/>
          <a:ext cx="542591" cy="923404"/>
        </a:xfrm>
        <a:prstGeom prst="rect">
          <a:avLst/>
        </a:prstGeom>
      </xdr:spPr>
    </xdr:pic>
    <xdr:clientData/>
  </xdr:twoCellAnchor>
  <xdr:twoCellAnchor editAs="oneCell">
    <xdr:from>
      <xdr:col>8</xdr:col>
      <xdr:colOff>1689101</xdr:colOff>
      <xdr:row>3</xdr:row>
      <xdr:rowOff>137704</xdr:rowOff>
    </xdr:from>
    <xdr:to>
      <xdr:col>8</xdr:col>
      <xdr:colOff>2225595</xdr:colOff>
      <xdr:row>3</xdr:row>
      <xdr:rowOff>878866</xdr:rowOff>
    </xdr:to>
    <xdr:pic>
      <xdr:nvPicPr>
        <xdr:cNvPr id="196" name="Picture 195" descr="30.3" title="Inf Bn (Light)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11118851" y="709204"/>
          <a:ext cx="536494" cy="741162"/>
        </a:xfrm>
        <a:prstGeom prst="rect">
          <a:avLst/>
        </a:prstGeom>
      </xdr:spPr>
    </xdr:pic>
    <xdr:clientData/>
  </xdr:twoCellAnchor>
  <xdr:twoCellAnchor editAs="oneCell">
    <xdr:from>
      <xdr:col>2</xdr:col>
      <xdr:colOff>2413907</xdr:colOff>
      <xdr:row>3</xdr:row>
      <xdr:rowOff>210638</xdr:rowOff>
    </xdr:from>
    <xdr:to>
      <xdr:col>2</xdr:col>
      <xdr:colOff>2968691</xdr:colOff>
      <xdr:row>3</xdr:row>
      <xdr:rowOff>714689</xdr:rowOff>
    </xdr:to>
    <xdr:pic>
      <xdr:nvPicPr>
        <xdr:cNvPr id="197" name="Picture 196" descr="21.31" title="EN Bn (ABCT)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937907" y="782138"/>
          <a:ext cx="554784" cy="504051"/>
        </a:xfrm>
        <a:prstGeom prst="rect">
          <a:avLst/>
        </a:prstGeom>
      </xdr:spPr>
    </xdr:pic>
    <xdr:clientData/>
  </xdr:twoCellAnchor>
  <xdr:twoCellAnchor editAs="oneCell">
    <xdr:from>
      <xdr:col>2</xdr:col>
      <xdr:colOff>2385062</xdr:colOff>
      <xdr:row>3</xdr:row>
      <xdr:rowOff>800644</xdr:rowOff>
    </xdr:from>
    <xdr:to>
      <xdr:col>2</xdr:col>
      <xdr:colOff>2945943</xdr:colOff>
      <xdr:row>3</xdr:row>
      <xdr:rowOff>1335178</xdr:rowOff>
    </xdr:to>
    <xdr:pic>
      <xdr:nvPicPr>
        <xdr:cNvPr id="198" name="Picture 197" descr="39.88" title="Cav Sqdn (M1A2)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09062" y="1372144"/>
          <a:ext cx="560881" cy="534534"/>
        </a:xfrm>
        <a:prstGeom prst="rect">
          <a:avLst/>
        </a:prstGeom>
      </xdr:spPr>
    </xdr:pic>
    <xdr:clientData/>
  </xdr:twoCellAnchor>
  <xdr:twoCellAnchor editAs="oneCell">
    <xdr:from>
      <xdr:col>2</xdr:col>
      <xdr:colOff>3119848</xdr:colOff>
      <xdr:row>3</xdr:row>
      <xdr:rowOff>242751</xdr:rowOff>
    </xdr:from>
    <xdr:to>
      <xdr:col>2</xdr:col>
      <xdr:colOff>3680729</xdr:colOff>
      <xdr:row>3</xdr:row>
      <xdr:rowOff>777285</xdr:rowOff>
    </xdr:to>
    <xdr:pic>
      <xdr:nvPicPr>
        <xdr:cNvPr id="199" name="Picture 198" descr="39.88" title="Cav Sqdn (M1A2)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43848" y="814251"/>
          <a:ext cx="560881" cy="534534"/>
        </a:xfrm>
        <a:prstGeom prst="rect">
          <a:avLst/>
        </a:prstGeom>
      </xdr:spPr>
    </xdr:pic>
    <xdr:clientData/>
  </xdr:twoCellAnchor>
  <xdr:twoCellAnchor editAs="oneCell">
    <xdr:from>
      <xdr:col>8</xdr:col>
      <xdr:colOff>2320835</xdr:colOff>
      <xdr:row>3</xdr:row>
      <xdr:rowOff>160565</xdr:rowOff>
    </xdr:from>
    <xdr:to>
      <xdr:col>8</xdr:col>
      <xdr:colOff>2857076</xdr:colOff>
      <xdr:row>3</xdr:row>
      <xdr:rowOff>1223535</xdr:rowOff>
    </xdr:to>
    <xdr:pic>
      <xdr:nvPicPr>
        <xdr:cNvPr id="200" name="Picture 199" descr="211.95" title="Tank Bde (T72A/BMP-2)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11750585" y="732065"/>
          <a:ext cx="536241" cy="10629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370205</xdr:colOff>
      <xdr:row>88</xdr:row>
      <xdr:rowOff>136525</xdr:rowOff>
    </xdr:from>
    <xdr:to>
      <xdr:col>5</xdr:col>
      <xdr:colOff>912796</xdr:colOff>
      <xdr:row>88</xdr:row>
      <xdr:rowOff>709599</xdr:rowOff>
    </xdr:to>
    <xdr:pic>
      <xdr:nvPicPr>
        <xdr:cNvPr id="95" name="Picture 94" descr="7" title="CAS Sortie Equivalent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47555" y="80603725"/>
          <a:ext cx="542591" cy="573074"/>
        </a:xfrm>
        <a:prstGeom prst="rect">
          <a:avLst/>
        </a:prstGeom>
      </xdr:spPr>
    </xdr:pic>
    <xdr:clientData/>
  </xdr:twoCellAnchor>
  <xdr:twoCellAnchor editAs="oneCell">
    <xdr:from>
      <xdr:col>5</xdr:col>
      <xdr:colOff>415925</xdr:colOff>
      <xdr:row>89</xdr:row>
      <xdr:rowOff>186690</xdr:rowOff>
    </xdr:from>
    <xdr:to>
      <xdr:col>5</xdr:col>
      <xdr:colOff>958516</xdr:colOff>
      <xdr:row>89</xdr:row>
      <xdr:rowOff>752144</xdr:rowOff>
    </xdr:to>
    <xdr:pic>
      <xdr:nvPicPr>
        <xdr:cNvPr id="96" name="Picture 95" descr="14" title="CAS Sortie x2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93275" y="81568290"/>
          <a:ext cx="542591" cy="565454"/>
        </a:xfrm>
        <a:prstGeom prst="rect">
          <a:avLst/>
        </a:prstGeom>
      </xdr:spPr>
    </xdr:pic>
    <xdr:clientData/>
  </xdr:twoCellAnchor>
  <xdr:twoCellAnchor editAs="oneCell">
    <xdr:from>
      <xdr:col>5</xdr:col>
      <xdr:colOff>354330</xdr:colOff>
      <xdr:row>90</xdr:row>
      <xdr:rowOff>106680</xdr:rowOff>
    </xdr:from>
    <xdr:to>
      <xdr:col>5</xdr:col>
      <xdr:colOff>896921</xdr:colOff>
      <xdr:row>90</xdr:row>
      <xdr:rowOff>679754</xdr:rowOff>
    </xdr:to>
    <xdr:pic>
      <xdr:nvPicPr>
        <xdr:cNvPr id="97" name="Picture 96" descr="35" title="CAS Sortie x5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31680" y="82402680"/>
          <a:ext cx="542591" cy="573074"/>
        </a:xfrm>
        <a:prstGeom prst="rect">
          <a:avLst/>
        </a:prstGeom>
      </xdr:spPr>
    </xdr:pic>
    <xdr:clientData/>
  </xdr:twoCellAnchor>
  <xdr:twoCellAnchor editAs="oneCell">
    <xdr:from>
      <xdr:col>5</xdr:col>
      <xdr:colOff>409575</xdr:colOff>
      <xdr:row>91</xdr:row>
      <xdr:rowOff>196215</xdr:rowOff>
    </xdr:from>
    <xdr:to>
      <xdr:col>5</xdr:col>
      <xdr:colOff>952166</xdr:colOff>
      <xdr:row>91</xdr:row>
      <xdr:rowOff>763192</xdr:rowOff>
    </xdr:to>
    <xdr:pic>
      <xdr:nvPicPr>
        <xdr:cNvPr id="98" name="Picture 97" descr="70" title="CAS Sortie x10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86925" y="83406615"/>
          <a:ext cx="542591" cy="566977"/>
        </a:xfrm>
        <a:prstGeom prst="rect">
          <a:avLst/>
        </a:prstGeom>
      </xdr:spPr>
    </xdr:pic>
    <xdr:clientData/>
  </xdr:twoCellAnchor>
  <xdr:twoCellAnchor editAs="oneCell">
    <xdr:from>
      <xdr:col>5</xdr:col>
      <xdr:colOff>419100</xdr:colOff>
      <xdr:row>82</xdr:row>
      <xdr:rowOff>102870</xdr:rowOff>
    </xdr:from>
    <xdr:to>
      <xdr:col>5</xdr:col>
      <xdr:colOff>961691</xdr:colOff>
      <xdr:row>83</xdr:row>
      <xdr:rowOff>35887</xdr:rowOff>
    </xdr:to>
    <xdr:pic>
      <xdr:nvPicPr>
        <xdr:cNvPr id="99" name="Picture 98" descr="9.98" title="AVN Bn (Mi-24D/E)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96450" y="94286070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5</xdr:col>
      <xdr:colOff>472440</xdr:colOff>
      <xdr:row>83</xdr:row>
      <xdr:rowOff>114300</xdr:rowOff>
    </xdr:from>
    <xdr:to>
      <xdr:col>5</xdr:col>
      <xdr:colOff>1015031</xdr:colOff>
      <xdr:row>84</xdr:row>
      <xdr:rowOff>83897</xdr:rowOff>
    </xdr:to>
    <xdr:pic>
      <xdr:nvPicPr>
        <xdr:cNvPr id="100" name="Picture 99" descr="3.32" title="AVN Co (Mi-24D/E)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9790" y="9521190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5</xdr:col>
      <xdr:colOff>392430</xdr:colOff>
      <xdr:row>84</xdr:row>
      <xdr:rowOff>102870</xdr:rowOff>
    </xdr:from>
    <xdr:to>
      <xdr:col>5</xdr:col>
      <xdr:colOff>935021</xdr:colOff>
      <xdr:row>85</xdr:row>
      <xdr:rowOff>41984</xdr:rowOff>
    </xdr:to>
    <xdr:pic>
      <xdr:nvPicPr>
        <xdr:cNvPr id="101" name="Picture 100" descr="15.42" title="AVN Bn (Mi-28)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69780" y="96114870"/>
          <a:ext cx="542591" cy="853514"/>
        </a:xfrm>
        <a:prstGeom prst="rect">
          <a:avLst/>
        </a:prstGeom>
      </xdr:spPr>
    </xdr:pic>
    <xdr:clientData/>
  </xdr:twoCellAnchor>
  <xdr:twoCellAnchor editAs="oneCell">
    <xdr:from>
      <xdr:col>5</xdr:col>
      <xdr:colOff>342900</xdr:colOff>
      <xdr:row>85</xdr:row>
      <xdr:rowOff>59055</xdr:rowOff>
    </xdr:from>
    <xdr:to>
      <xdr:col>5</xdr:col>
      <xdr:colOff>885491</xdr:colOff>
      <xdr:row>86</xdr:row>
      <xdr:rowOff>22555</xdr:rowOff>
    </xdr:to>
    <xdr:pic>
      <xdr:nvPicPr>
        <xdr:cNvPr id="102" name="Picture 101" descr="5.14" title="AVN Co (Mi-28)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620250" y="77783055"/>
          <a:ext cx="542591" cy="877900"/>
        </a:xfrm>
        <a:prstGeom prst="rect">
          <a:avLst/>
        </a:prstGeom>
      </xdr:spPr>
    </xdr:pic>
    <xdr:clientData/>
  </xdr:twoCellAnchor>
  <xdr:twoCellAnchor editAs="oneCell">
    <xdr:from>
      <xdr:col>5</xdr:col>
      <xdr:colOff>403860</xdr:colOff>
      <xdr:row>86</xdr:row>
      <xdr:rowOff>68580</xdr:rowOff>
    </xdr:from>
    <xdr:to>
      <xdr:col>5</xdr:col>
      <xdr:colOff>946451</xdr:colOff>
      <xdr:row>87</xdr:row>
      <xdr:rowOff>1597</xdr:rowOff>
    </xdr:to>
    <xdr:pic>
      <xdr:nvPicPr>
        <xdr:cNvPr id="103" name="Picture 102" descr="10.08" title="AVN Bn (Ka-50)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681210" y="97909380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5</xdr:col>
      <xdr:colOff>464820</xdr:colOff>
      <xdr:row>87</xdr:row>
      <xdr:rowOff>53340</xdr:rowOff>
    </xdr:from>
    <xdr:to>
      <xdr:col>5</xdr:col>
      <xdr:colOff>1007411</xdr:colOff>
      <xdr:row>88</xdr:row>
      <xdr:rowOff>4647</xdr:rowOff>
    </xdr:to>
    <xdr:pic>
      <xdr:nvPicPr>
        <xdr:cNvPr id="104" name="Picture 103" descr="3.36" title="AVN Co (Ka-50)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42170" y="98808540"/>
          <a:ext cx="542591" cy="865707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80</xdr:row>
      <xdr:rowOff>95250</xdr:rowOff>
    </xdr:from>
    <xdr:to>
      <xdr:col>5</xdr:col>
      <xdr:colOff>1056941</xdr:colOff>
      <xdr:row>80</xdr:row>
      <xdr:rowOff>759772</xdr:rowOff>
    </xdr:to>
    <xdr:pic>
      <xdr:nvPicPr>
        <xdr:cNvPr id="105" name="Picture 104" descr="30.52" title="Recon Bn (Mech Division)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791700" y="91535250"/>
          <a:ext cx="542591" cy="664522"/>
        </a:xfrm>
        <a:prstGeom prst="rect">
          <a:avLst/>
        </a:prstGeom>
      </xdr:spPr>
    </xdr:pic>
    <xdr:clientData/>
  </xdr:twoCellAnchor>
  <xdr:twoCellAnchor editAs="oneCell">
    <xdr:from>
      <xdr:col>5</xdr:col>
      <xdr:colOff>506730</xdr:colOff>
      <xdr:row>81</xdr:row>
      <xdr:rowOff>95250</xdr:rowOff>
    </xdr:from>
    <xdr:to>
      <xdr:col>5</xdr:col>
      <xdr:colOff>1049321</xdr:colOff>
      <xdr:row>81</xdr:row>
      <xdr:rowOff>747579</xdr:rowOff>
    </xdr:to>
    <xdr:pic>
      <xdr:nvPicPr>
        <xdr:cNvPr id="106" name="Picture 105" descr="34.38" title="EN Bn (Mech Division)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784080" y="92449650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5</xdr:col>
      <xdr:colOff>495300</xdr:colOff>
      <xdr:row>63</xdr:row>
      <xdr:rowOff>76200</xdr:rowOff>
    </xdr:from>
    <xdr:to>
      <xdr:col>5</xdr:col>
      <xdr:colOff>1037891</xdr:colOff>
      <xdr:row>64</xdr:row>
      <xdr:rowOff>64086</xdr:rowOff>
    </xdr:to>
    <xdr:pic>
      <xdr:nvPicPr>
        <xdr:cNvPr id="107" name="Picture 106" descr="21.88" title="FA Bn (2S1)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772650" y="6774180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5</xdr:col>
      <xdr:colOff>499110</xdr:colOff>
      <xdr:row>64</xdr:row>
      <xdr:rowOff>87630</xdr:rowOff>
    </xdr:from>
    <xdr:to>
      <xdr:col>5</xdr:col>
      <xdr:colOff>1041701</xdr:colOff>
      <xdr:row>65</xdr:row>
      <xdr:rowOff>57227</xdr:rowOff>
    </xdr:to>
    <xdr:pic>
      <xdr:nvPicPr>
        <xdr:cNvPr id="108" name="Picture 107" descr="4.41" title="FA Btry (2S1)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776460" y="6866763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5</xdr:col>
      <xdr:colOff>407670</xdr:colOff>
      <xdr:row>67</xdr:row>
      <xdr:rowOff>121920</xdr:rowOff>
    </xdr:from>
    <xdr:to>
      <xdr:col>5</xdr:col>
      <xdr:colOff>950261</xdr:colOff>
      <xdr:row>68</xdr:row>
      <xdr:rowOff>109806</xdr:rowOff>
    </xdr:to>
    <xdr:pic>
      <xdr:nvPicPr>
        <xdr:cNvPr id="109" name="Picture 108" descr="21.34" title="FA Bn (2S5)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85020" y="7144512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5</xdr:col>
      <xdr:colOff>464820</xdr:colOff>
      <xdr:row>68</xdr:row>
      <xdr:rowOff>91440</xdr:rowOff>
    </xdr:from>
    <xdr:to>
      <xdr:col>5</xdr:col>
      <xdr:colOff>1007411</xdr:colOff>
      <xdr:row>69</xdr:row>
      <xdr:rowOff>61037</xdr:rowOff>
    </xdr:to>
    <xdr:pic>
      <xdr:nvPicPr>
        <xdr:cNvPr id="110" name="Picture 109" descr="4.23" title="FA Btry (2S5)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742170" y="7232904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5</xdr:col>
      <xdr:colOff>487680</xdr:colOff>
      <xdr:row>71</xdr:row>
      <xdr:rowOff>68580</xdr:rowOff>
    </xdr:from>
    <xdr:to>
      <xdr:col>5</xdr:col>
      <xdr:colOff>1030271</xdr:colOff>
      <xdr:row>71</xdr:row>
      <xdr:rowOff>903804</xdr:rowOff>
    </xdr:to>
    <xdr:pic>
      <xdr:nvPicPr>
        <xdr:cNvPr id="111" name="Picture 110" descr="2.7" title="FA Btry (9P140/URAGAN/BM-27)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765030" y="77792580"/>
          <a:ext cx="542591" cy="835224"/>
        </a:xfrm>
        <a:prstGeom prst="rect">
          <a:avLst/>
        </a:prstGeom>
      </xdr:spPr>
    </xdr:pic>
    <xdr:clientData/>
  </xdr:twoCellAnchor>
  <xdr:twoCellAnchor editAs="oneCell">
    <xdr:from>
      <xdr:col>5</xdr:col>
      <xdr:colOff>365760</xdr:colOff>
      <xdr:row>70</xdr:row>
      <xdr:rowOff>53340</xdr:rowOff>
    </xdr:from>
    <xdr:to>
      <xdr:col>5</xdr:col>
      <xdr:colOff>908351</xdr:colOff>
      <xdr:row>70</xdr:row>
      <xdr:rowOff>900757</xdr:rowOff>
    </xdr:to>
    <xdr:pic>
      <xdr:nvPicPr>
        <xdr:cNvPr id="112" name="Picture 111" descr="16.92" title="FA Bn (9P140/URAGAN/BM-27)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643110" y="76862940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5</xdr:col>
      <xdr:colOff>424815</xdr:colOff>
      <xdr:row>73</xdr:row>
      <xdr:rowOff>79375</xdr:rowOff>
    </xdr:from>
    <xdr:to>
      <xdr:col>5</xdr:col>
      <xdr:colOff>961309</xdr:colOff>
      <xdr:row>73</xdr:row>
      <xdr:rowOff>896310</xdr:rowOff>
    </xdr:to>
    <xdr:pic>
      <xdr:nvPicPr>
        <xdr:cNvPr id="113" name="Picture 112" descr="3.15" title="FA Btry (9A52-2/SMERCH-M/BM-30)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41815" y="67294125"/>
          <a:ext cx="536494" cy="816935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381000</xdr:colOff>
      <xdr:row>72</xdr:row>
      <xdr:rowOff>110490</xdr:rowOff>
    </xdr:from>
    <xdr:to>
      <xdr:col>5</xdr:col>
      <xdr:colOff>917494</xdr:colOff>
      <xdr:row>73</xdr:row>
      <xdr:rowOff>25218</xdr:rowOff>
    </xdr:to>
    <xdr:pic>
      <xdr:nvPicPr>
        <xdr:cNvPr id="114" name="Picture 113" descr="18.29" title="FA Bn (9A52-2/SMERCH-M/BM-30)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58350" y="78748890"/>
          <a:ext cx="536494" cy="829128"/>
        </a:xfrm>
        <a:prstGeom prst="rect">
          <a:avLst/>
        </a:prstGeom>
      </xdr:spPr>
    </xdr:pic>
    <xdr:clientData/>
  </xdr:twoCellAnchor>
  <xdr:twoCellAnchor editAs="oneCell">
    <xdr:from>
      <xdr:col>5</xdr:col>
      <xdr:colOff>556260</xdr:colOff>
      <xdr:row>75</xdr:row>
      <xdr:rowOff>72390</xdr:rowOff>
    </xdr:from>
    <xdr:to>
      <xdr:col>5</xdr:col>
      <xdr:colOff>1092754</xdr:colOff>
      <xdr:row>75</xdr:row>
      <xdr:rowOff>877132</xdr:rowOff>
    </xdr:to>
    <xdr:pic>
      <xdr:nvPicPr>
        <xdr:cNvPr id="115" name="Picture 114" descr="3" title="FA Btry (WM-80)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833610" y="81453990"/>
          <a:ext cx="536494" cy="804742"/>
        </a:xfrm>
        <a:prstGeom prst="rect">
          <a:avLst/>
        </a:prstGeom>
      </xdr:spPr>
    </xdr:pic>
    <xdr:clientData/>
  </xdr:twoCellAnchor>
  <xdr:twoCellAnchor editAs="oneCell">
    <xdr:from>
      <xdr:col>5</xdr:col>
      <xdr:colOff>468630</xdr:colOff>
      <xdr:row>74</xdr:row>
      <xdr:rowOff>99060</xdr:rowOff>
    </xdr:from>
    <xdr:to>
      <xdr:col>5</xdr:col>
      <xdr:colOff>1005124</xdr:colOff>
      <xdr:row>75</xdr:row>
      <xdr:rowOff>7691</xdr:rowOff>
    </xdr:to>
    <xdr:pic>
      <xdr:nvPicPr>
        <xdr:cNvPr id="116" name="Picture 115" descr="17.95" title="FA Bn (WM-80)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745980" y="80566260"/>
          <a:ext cx="536494" cy="823031"/>
        </a:xfrm>
        <a:prstGeom prst="rect">
          <a:avLst/>
        </a:prstGeom>
      </xdr:spPr>
    </xdr:pic>
    <xdr:clientData/>
  </xdr:twoCellAnchor>
  <xdr:twoCellAnchor editAs="oneCell">
    <xdr:from>
      <xdr:col>5</xdr:col>
      <xdr:colOff>426720</xdr:colOff>
      <xdr:row>77</xdr:row>
      <xdr:rowOff>60960</xdr:rowOff>
    </xdr:from>
    <xdr:to>
      <xdr:col>5</xdr:col>
      <xdr:colOff>963214</xdr:colOff>
      <xdr:row>77</xdr:row>
      <xdr:rowOff>877895</xdr:rowOff>
    </xdr:to>
    <xdr:pic>
      <xdr:nvPicPr>
        <xdr:cNvPr id="117" name="Picture 116" descr="2.82" title="FA Btry (Fajr-3)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704070" y="83271360"/>
          <a:ext cx="536494" cy="816935"/>
        </a:xfrm>
        <a:prstGeom prst="rect">
          <a:avLst/>
        </a:prstGeom>
      </xdr:spPr>
    </xdr:pic>
    <xdr:clientData/>
  </xdr:twoCellAnchor>
  <xdr:twoCellAnchor editAs="oneCell">
    <xdr:from>
      <xdr:col>5</xdr:col>
      <xdr:colOff>426720</xdr:colOff>
      <xdr:row>76</xdr:row>
      <xdr:rowOff>140970</xdr:rowOff>
    </xdr:from>
    <xdr:to>
      <xdr:col>5</xdr:col>
      <xdr:colOff>969311</xdr:colOff>
      <xdr:row>77</xdr:row>
      <xdr:rowOff>55698</xdr:rowOff>
    </xdr:to>
    <xdr:pic>
      <xdr:nvPicPr>
        <xdr:cNvPr id="118" name="Picture 117" descr="18.03" title="FA Bn (Fajr-3)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704070" y="82436970"/>
          <a:ext cx="542591" cy="829128"/>
        </a:xfrm>
        <a:prstGeom prst="rect">
          <a:avLst/>
        </a:prstGeom>
      </xdr:spPr>
    </xdr:pic>
    <xdr:clientData/>
  </xdr:twoCellAnchor>
  <xdr:twoCellAnchor editAs="oneCell">
    <xdr:from>
      <xdr:col>5</xdr:col>
      <xdr:colOff>480060</xdr:colOff>
      <xdr:row>65</xdr:row>
      <xdr:rowOff>30480</xdr:rowOff>
    </xdr:from>
    <xdr:to>
      <xdr:col>5</xdr:col>
      <xdr:colOff>1016554</xdr:colOff>
      <xdr:row>66</xdr:row>
      <xdr:rowOff>18366</xdr:rowOff>
    </xdr:to>
    <xdr:pic>
      <xdr:nvPicPr>
        <xdr:cNvPr id="119" name="Picture 118" descr="20.25" title="FA Bn (2S3)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757410" y="69524880"/>
          <a:ext cx="536494" cy="902286"/>
        </a:xfrm>
        <a:prstGeom prst="rect">
          <a:avLst/>
        </a:prstGeom>
      </xdr:spPr>
    </xdr:pic>
    <xdr:clientData/>
  </xdr:twoCellAnchor>
  <xdr:twoCellAnchor editAs="oneCell">
    <xdr:from>
      <xdr:col>5</xdr:col>
      <xdr:colOff>461010</xdr:colOff>
      <xdr:row>66</xdr:row>
      <xdr:rowOff>99060</xdr:rowOff>
    </xdr:from>
    <xdr:to>
      <xdr:col>5</xdr:col>
      <xdr:colOff>1003601</xdr:colOff>
      <xdr:row>67</xdr:row>
      <xdr:rowOff>68657</xdr:rowOff>
    </xdr:to>
    <xdr:pic>
      <xdr:nvPicPr>
        <xdr:cNvPr id="120" name="Picture 119" descr="3.83" title="FA Btry (2S3)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738360" y="7050786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5</xdr:col>
      <xdr:colOff>461010</xdr:colOff>
      <xdr:row>52</xdr:row>
      <xdr:rowOff>87630</xdr:rowOff>
    </xdr:from>
    <xdr:to>
      <xdr:col>5</xdr:col>
      <xdr:colOff>1003601</xdr:colOff>
      <xdr:row>52</xdr:row>
      <xdr:rowOff>733862</xdr:rowOff>
    </xdr:to>
    <xdr:pic>
      <xdr:nvPicPr>
        <xdr:cNvPr id="121" name="Picture 120" descr="29.71" title="AT Bn (Mech)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738360" y="55866030"/>
          <a:ext cx="542591" cy="646232"/>
        </a:xfrm>
        <a:prstGeom prst="rect">
          <a:avLst/>
        </a:prstGeom>
      </xdr:spPr>
    </xdr:pic>
    <xdr:clientData/>
  </xdr:twoCellAnchor>
  <xdr:twoCellAnchor editAs="oneCell">
    <xdr:from>
      <xdr:col>5</xdr:col>
      <xdr:colOff>499110</xdr:colOff>
      <xdr:row>53</xdr:row>
      <xdr:rowOff>53340</xdr:rowOff>
    </xdr:from>
    <xdr:to>
      <xdr:col>5</xdr:col>
      <xdr:colOff>1035604</xdr:colOff>
      <xdr:row>53</xdr:row>
      <xdr:rowOff>894661</xdr:rowOff>
    </xdr:to>
    <xdr:pic>
      <xdr:nvPicPr>
        <xdr:cNvPr id="122" name="Picture 121" descr="6.6" title="AT Btry MT-12R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776460" y="56746140"/>
          <a:ext cx="536494" cy="841321"/>
        </a:xfrm>
        <a:prstGeom prst="rect">
          <a:avLst/>
        </a:prstGeom>
      </xdr:spPr>
    </xdr:pic>
    <xdr:clientData/>
  </xdr:twoCellAnchor>
  <xdr:twoCellAnchor editAs="oneCell">
    <xdr:from>
      <xdr:col>5</xdr:col>
      <xdr:colOff>449580</xdr:colOff>
      <xdr:row>54</xdr:row>
      <xdr:rowOff>60960</xdr:rowOff>
    </xdr:from>
    <xdr:to>
      <xdr:col>5</xdr:col>
      <xdr:colOff>992171</xdr:colOff>
      <xdr:row>55</xdr:row>
      <xdr:rowOff>91522</xdr:rowOff>
    </xdr:to>
    <xdr:pic>
      <xdr:nvPicPr>
        <xdr:cNvPr id="123" name="Picture 122" descr="4.29" title="AT Btry (AMX-10 HOT 3)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9726930" y="57668160"/>
          <a:ext cx="542591" cy="944962"/>
        </a:xfrm>
        <a:prstGeom prst="rect">
          <a:avLst/>
        </a:prstGeom>
      </xdr:spPr>
    </xdr:pic>
    <xdr:clientData/>
  </xdr:twoCellAnchor>
  <xdr:twoCellAnchor editAs="oneCell">
    <xdr:from>
      <xdr:col>5</xdr:col>
      <xdr:colOff>438150</xdr:colOff>
      <xdr:row>55</xdr:row>
      <xdr:rowOff>99060</xdr:rowOff>
    </xdr:from>
    <xdr:to>
      <xdr:col>5</xdr:col>
      <xdr:colOff>980741</xdr:colOff>
      <xdr:row>55</xdr:row>
      <xdr:rowOff>739195</xdr:rowOff>
    </xdr:to>
    <xdr:pic>
      <xdr:nvPicPr>
        <xdr:cNvPr id="124" name="Picture 123" descr="15.49" title="AT Bn (Mtr)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9715500" y="58620660"/>
          <a:ext cx="542591" cy="640135"/>
        </a:xfrm>
        <a:prstGeom prst="rect">
          <a:avLst/>
        </a:prstGeom>
      </xdr:spPr>
    </xdr:pic>
    <xdr:clientData/>
  </xdr:twoCellAnchor>
  <xdr:twoCellAnchor editAs="oneCell">
    <xdr:from>
      <xdr:col>5</xdr:col>
      <xdr:colOff>495300</xdr:colOff>
      <xdr:row>57</xdr:row>
      <xdr:rowOff>95250</xdr:rowOff>
    </xdr:from>
    <xdr:to>
      <xdr:col>5</xdr:col>
      <xdr:colOff>1037891</xdr:colOff>
      <xdr:row>57</xdr:row>
      <xdr:rowOff>729289</xdr:rowOff>
    </xdr:to>
    <xdr:pic>
      <xdr:nvPicPr>
        <xdr:cNvPr id="125" name="Picture 124" descr="1.88" title="ADA Btry (SP AA Gun)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772650" y="60445650"/>
          <a:ext cx="542591" cy="634039"/>
        </a:xfrm>
        <a:prstGeom prst="rect">
          <a:avLst/>
        </a:prstGeom>
      </xdr:spPr>
    </xdr:pic>
    <xdr:clientData/>
  </xdr:twoCellAnchor>
  <xdr:twoCellAnchor editAs="oneCell">
    <xdr:from>
      <xdr:col>5</xdr:col>
      <xdr:colOff>441960</xdr:colOff>
      <xdr:row>58</xdr:row>
      <xdr:rowOff>99060</xdr:rowOff>
    </xdr:from>
    <xdr:to>
      <xdr:col>5</xdr:col>
      <xdr:colOff>984551</xdr:colOff>
      <xdr:row>59</xdr:row>
      <xdr:rowOff>44271</xdr:rowOff>
    </xdr:to>
    <xdr:pic>
      <xdr:nvPicPr>
        <xdr:cNvPr id="126" name="Picture 125" descr="3.43" title="ADA Btry (SA-15)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9719310" y="61363860"/>
          <a:ext cx="542591" cy="859611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59</xdr:row>
      <xdr:rowOff>95250</xdr:rowOff>
    </xdr:from>
    <xdr:to>
      <xdr:col>5</xdr:col>
      <xdr:colOff>993694</xdr:colOff>
      <xdr:row>60</xdr:row>
      <xdr:rowOff>34364</xdr:rowOff>
    </xdr:to>
    <xdr:pic>
      <xdr:nvPicPr>
        <xdr:cNvPr id="127" name="Picture 126" descr="6.14" title="ADA Btry (SA-18)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9734550" y="62274450"/>
          <a:ext cx="536494" cy="853514"/>
        </a:xfrm>
        <a:prstGeom prst="rect">
          <a:avLst/>
        </a:prstGeom>
      </xdr:spPr>
    </xdr:pic>
    <xdr:clientData/>
  </xdr:twoCellAnchor>
  <xdr:twoCellAnchor editAs="oneCell">
    <xdr:from>
      <xdr:col>5</xdr:col>
      <xdr:colOff>421005</xdr:colOff>
      <xdr:row>60</xdr:row>
      <xdr:rowOff>89535</xdr:rowOff>
    </xdr:from>
    <xdr:to>
      <xdr:col>5</xdr:col>
      <xdr:colOff>957499</xdr:colOff>
      <xdr:row>60</xdr:row>
      <xdr:rowOff>717477</xdr:rowOff>
    </xdr:to>
    <xdr:pic>
      <xdr:nvPicPr>
        <xdr:cNvPr id="128" name="Picture 127" descr="21.28" title="ADA Bn (Mtr)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98355" y="54953535"/>
          <a:ext cx="536494" cy="627942"/>
        </a:xfrm>
        <a:prstGeom prst="rect">
          <a:avLst/>
        </a:prstGeom>
      </xdr:spPr>
    </xdr:pic>
    <xdr:clientData/>
  </xdr:twoCellAnchor>
  <xdr:twoCellAnchor editAs="oneCell">
    <xdr:from>
      <xdr:col>5</xdr:col>
      <xdr:colOff>415290</xdr:colOff>
      <xdr:row>61</xdr:row>
      <xdr:rowOff>95250</xdr:rowOff>
    </xdr:from>
    <xdr:to>
      <xdr:col>5</xdr:col>
      <xdr:colOff>957881</xdr:colOff>
      <xdr:row>61</xdr:row>
      <xdr:rowOff>887799</xdr:rowOff>
    </xdr:to>
    <xdr:pic>
      <xdr:nvPicPr>
        <xdr:cNvPr id="129" name="Picture 128" descr="2.2" title="ADA Btry (Skyguard)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692640" y="64103250"/>
          <a:ext cx="542591" cy="792549"/>
        </a:xfrm>
        <a:prstGeom prst="rect">
          <a:avLst/>
        </a:prstGeom>
      </xdr:spPr>
    </xdr:pic>
    <xdr:clientData/>
  </xdr:twoCellAnchor>
  <xdr:twoCellAnchor editAs="oneCell">
    <xdr:from>
      <xdr:col>5</xdr:col>
      <xdr:colOff>465667</xdr:colOff>
      <xdr:row>43</xdr:row>
      <xdr:rowOff>74507</xdr:rowOff>
    </xdr:from>
    <xdr:to>
      <xdr:col>5</xdr:col>
      <xdr:colOff>1008258</xdr:colOff>
      <xdr:row>43</xdr:row>
      <xdr:rowOff>732932</xdr:rowOff>
    </xdr:to>
    <xdr:pic>
      <xdr:nvPicPr>
        <xdr:cNvPr id="130" name="Picture 129" descr="15.98" title="Guerilla Bn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753600" y="45794507"/>
          <a:ext cx="542591" cy="658425"/>
        </a:xfrm>
        <a:prstGeom prst="rect">
          <a:avLst/>
        </a:prstGeom>
      </xdr:spPr>
    </xdr:pic>
    <xdr:clientData/>
  </xdr:twoCellAnchor>
  <xdr:twoCellAnchor editAs="oneCell">
    <xdr:from>
      <xdr:col>5</xdr:col>
      <xdr:colOff>521547</xdr:colOff>
      <xdr:row>44</xdr:row>
      <xdr:rowOff>94827</xdr:rowOff>
    </xdr:from>
    <xdr:to>
      <xdr:col>5</xdr:col>
      <xdr:colOff>1064138</xdr:colOff>
      <xdr:row>44</xdr:row>
      <xdr:rowOff>747156</xdr:rowOff>
    </xdr:to>
    <xdr:pic>
      <xdr:nvPicPr>
        <xdr:cNvPr id="131" name="Picture 130" descr="8.35" title="Guerilla Wpns Bn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9809480" y="46729227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508000</xdr:colOff>
      <xdr:row>45</xdr:row>
      <xdr:rowOff>93134</xdr:rowOff>
    </xdr:from>
    <xdr:to>
      <xdr:col>5</xdr:col>
      <xdr:colOff>1050591</xdr:colOff>
      <xdr:row>45</xdr:row>
      <xdr:rowOff>751559</xdr:rowOff>
    </xdr:to>
    <xdr:pic>
      <xdr:nvPicPr>
        <xdr:cNvPr id="132" name="Picture 131" descr="3.94" title="Recon Co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795933" y="47641934"/>
          <a:ext cx="542591" cy="658425"/>
        </a:xfrm>
        <a:prstGeom prst="rect">
          <a:avLst/>
        </a:prstGeom>
      </xdr:spPr>
    </xdr:pic>
    <xdr:clientData/>
  </xdr:twoCellAnchor>
  <xdr:twoCellAnchor editAs="oneCell">
    <xdr:from>
      <xdr:col>5</xdr:col>
      <xdr:colOff>495300</xdr:colOff>
      <xdr:row>47</xdr:row>
      <xdr:rowOff>87630</xdr:rowOff>
    </xdr:from>
    <xdr:to>
      <xdr:col>5</xdr:col>
      <xdr:colOff>1037891</xdr:colOff>
      <xdr:row>47</xdr:row>
      <xdr:rowOff>739959</xdr:rowOff>
    </xdr:to>
    <xdr:pic>
      <xdr:nvPicPr>
        <xdr:cNvPr id="134" name="Picture 133" descr="2.77" title="Guerilla Co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772650" y="49465230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5</xdr:col>
      <xdr:colOff>521970</xdr:colOff>
      <xdr:row>48</xdr:row>
      <xdr:rowOff>53340</xdr:rowOff>
    </xdr:from>
    <xdr:to>
      <xdr:col>5</xdr:col>
      <xdr:colOff>1064561</xdr:colOff>
      <xdr:row>48</xdr:row>
      <xdr:rowOff>705669</xdr:rowOff>
    </xdr:to>
    <xdr:pic>
      <xdr:nvPicPr>
        <xdr:cNvPr id="135" name="Picture 134" descr="4.19" title="Weapons Co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9799320" y="51259740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5</xdr:col>
      <xdr:colOff>483870</xdr:colOff>
      <xdr:row>49</xdr:row>
      <xdr:rowOff>76200</xdr:rowOff>
    </xdr:from>
    <xdr:to>
      <xdr:col>5</xdr:col>
      <xdr:colOff>1026461</xdr:colOff>
      <xdr:row>49</xdr:row>
      <xdr:rowOff>771204</xdr:rowOff>
    </xdr:to>
    <xdr:pic>
      <xdr:nvPicPr>
        <xdr:cNvPr id="136" name="Picture 135" descr="1.33" title="Guerilla Mortar Btry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9761220" y="52197000"/>
          <a:ext cx="542591" cy="695004"/>
        </a:xfrm>
        <a:prstGeom prst="rect">
          <a:avLst/>
        </a:prstGeom>
      </xdr:spPr>
    </xdr:pic>
    <xdr:clientData/>
  </xdr:twoCellAnchor>
  <xdr:twoCellAnchor editAs="oneCell">
    <xdr:from>
      <xdr:col>5</xdr:col>
      <xdr:colOff>521970</xdr:colOff>
      <xdr:row>50</xdr:row>
      <xdr:rowOff>26670</xdr:rowOff>
    </xdr:from>
    <xdr:to>
      <xdr:col>5</xdr:col>
      <xdr:colOff>1058464</xdr:colOff>
      <xdr:row>50</xdr:row>
      <xdr:rowOff>691192</xdr:rowOff>
    </xdr:to>
    <xdr:pic>
      <xdr:nvPicPr>
        <xdr:cNvPr id="137" name="Picture 136" descr="2.22" title="Guerilla RL Btry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799320" y="53061870"/>
          <a:ext cx="536494" cy="664522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51</xdr:row>
      <xdr:rowOff>60960</xdr:rowOff>
    </xdr:from>
    <xdr:to>
      <xdr:col>5</xdr:col>
      <xdr:colOff>1056941</xdr:colOff>
      <xdr:row>51</xdr:row>
      <xdr:rowOff>713289</xdr:rowOff>
    </xdr:to>
    <xdr:pic>
      <xdr:nvPicPr>
        <xdr:cNvPr id="138" name="Picture 137" descr="3.49" title="Guerilla AT Btry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9791700" y="54010560"/>
          <a:ext cx="542591" cy="6523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46</xdr:row>
      <xdr:rowOff>110067</xdr:rowOff>
    </xdr:from>
    <xdr:to>
      <xdr:col>5</xdr:col>
      <xdr:colOff>999791</xdr:colOff>
      <xdr:row>46</xdr:row>
      <xdr:rowOff>756299</xdr:rowOff>
    </xdr:to>
    <xdr:pic>
      <xdr:nvPicPr>
        <xdr:cNvPr id="139" name="Picture 138" descr="2.81" title="Sapper Co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745133" y="48573267"/>
          <a:ext cx="542591" cy="646232"/>
        </a:xfrm>
        <a:prstGeom prst="rect">
          <a:avLst/>
        </a:prstGeom>
        <a:ln w="12700">
          <a:noFill/>
        </a:ln>
      </xdr:spPr>
    </xdr:pic>
    <xdr:clientData/>
  </xdr:twoCellAnchor>
  <xdr:twoCellAnchor editAs="oneCell">
    <xdr:from>
      <xdr:col>5</xdr:col>
      <xdr:colOff>552450</xdr:colOff>
      <xdr:row>40</xdr:row>
      <xdr:rowOff>129540</xdr:rowOff>
    </xdr:from>
    <xdr:to>
      <xdr:col>5</xdr:col>
      <xdr:colOff>1088944</xdr:colOff>
      <xdr:row>40</xdr:row>
      <xdr:rowOff>848930</xdr:rowOff>
    </xdr:to>
    <xdr:pic>
      <xdr:nvPicPr>
        <xdr:cNvPr id="140" name="Picture 139" descr="30.3" title="Inf Bn (Light)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9829800" y="42191940"/>
          <a:ext cx="536494" cy="719390"/>
        </a:xfrm>
        <a:prstGeom prst="rect">
          <a:avLst/>
        </a:prstGeom>
      </xdr:spPr>
    </xdr:pic>
    <xdr:clientData/>
  </xdr:twoCellAnchor>
  <xdr:twoCellAnchor editAs="oneCell">
    <xdr:from>
      <xdr:col>5</xdr:col>
      <xdr:colOff>491490</xdr:colOff>
      <xdr:row>41</xdr:row>
      <xdr:rowOff>76200</xdr:rowOff>
    </xdr:from>
    <xdr:to>
      <xdr:col>5</xdr:col>
      <xdr:colOff>1034081</xdr:colOff>
      <xdr:row>41</xdr:row>
      <xdr:rowOff>801687</xdr:rowOff>
    </xdr:to>
    <xdr:pic>
      <xdr:nvPicPr>
        <xdr:cNvPr id="141" name="Picture 140" descr="4.47" title="Inf Co (Light)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768840" y="43053000"/>
          <a:ext cx="542591" cy="725487"/>
        </a:xfrm>
        <a:prstGeom prst="rect">
          <a:avLst/>
        </a:prstGeom>
      </xdr:spPr>
    </xdr:pic>
    <xdr:clientData/>
  </xdr:twoCellAnchor>
  <xdr:twoCellAnchor editAs="oneCell">
    <xdr:from>
      <xdr:col>5</xdr:col>
      <xdr:colOff>483870</xdr:colOff>
      <xdr:row>36</xdr:row>
      <xdr:rowOff>106680</xdr:rowOff>
    </xdr:from>
    <xdr:to>
      <xdr:col>5</xdr:col>
      <xdr:colOff>1026461</xdr:colOff>
      <xdr:row>37</xdr:row>
      <xdr:rowOff>39697</xdr:rowOff>
    </xdr:to>
    <xdr:pic>
      <xdr:nvPicPr>
        <xdr:cNvPr id="142" name="Picture 141" descr="2.73" title="FA Btry (G6 Rhino)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9761220" y="37597080"/>
          <a:ext cx="542591" cy="847417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476250</xdr:colOff>
      <xdr:row>35</xdr:row>
      <xdr:rowOff>114300</xdr:rowOff>
    </xdr:from>
    <xdr:to>
      <xdr:col>5</xdr:col>
      <xdr:colOff>1018841</xdr:colOff>
      <xdr:row>36</xdr:row>
      <xdr:rowOff>53414</xdr:rowOff>
    </xdr:to>
    <xdr:pic>
      <xdr:nvPicPr>
        <xdr:cNvPr id="143" name="Picture 142" descr="16.85" title="FA Bn (G6 Rhino)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753600" y="36690300"/>
          <a:ext cx="542591" cy="853514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476250</xdr:colOff>
      <xdr:row>33</xdr:row>
      <xdr:rowOff>72390</xdr:rowOff>
    </xdr:from>
    <xdr:to>
      <xdr:col>5</xdr:col>
      <xdr:colOff>1018841</xdr:colOff>
      <xdr:row>34</xdr:row>
      <xdr:rowOff>115145</xdr:rowOff>
    </xdr:to>
    <xdr:pic>
      <xdr:nvPicPr>
        <xdr:cNvPr id="144" name="Picture 143" descr="28.79" title="Tank Bn (T-72B)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753600" y="34819590"/>
          <a:ext cx="542591" cy="957155"/>
        </a:xfrm>
        <a:prstGeom prst="rect">
          <a:avLst/>
        </a:prstGeom>
      </xdr:spPr>
    </xdr:pic>
    <xdr:clientData/>
  </xdr:twoCellAnchor>
  <xdr:twoCellAnchor editAs="oneCell">
    <xdr:from>
      <xdr:col>5</xdr:col>
      <xdr:colOff>480060</xdr:colOff>
      <xdr:row>34</xdr:row>
      <xdr:rowOff>49530</xdr:rowOff>
    </xdr:from>
    <xdr:to>
      <xdr:col>5</xdr:col>
      <xdr:colOff>1022651</xdr:colOff>
      <xdr:row>35</xdr:row>
      <xdr:rowOff>31320</xdr:rowOff>
    </xdr:to>
    <xdr:pic>
      <xdr:nvPicPr>
        <xdr:cNvPr id="145" name="Picture 144" descr="6.29" title="Tank Co (T-72B)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757410" y="3571113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506730</xdr:colOff>
      <xdr:row>38</xdr:row>
      <xdr:rowOff>57150</xdr:rowOff>
    </xdr:from>
    <xdr:to>
      <xdr:col>5</xdr:col>
      <xdr:colOff>1049321</xdr:colOff>
      <xdr:row>39</xdr:row>
      <xdr:rowOff>38940</xdr:rowOff>
    </xdr:to>
    <xdr:pic>
      <xdr:nvPicPr>
        <xdr:cNvPr id="146" name="Picture 145" descr="16.03" title="En Co (Mtr)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784080" y="3937635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37</xdr:row>
      <xdr:rowOff>76200</xdr:rowOff>
    </xdr:from>
    <xdr:to>
      <xdr:col>5</xdr:col>
      <xdr:colOff>1056941</xdr:colOff>
      <xdr:row>38</xdr:row>
      <xdr:rowOff>57990</xdr:rowOff>
    </xdr:to>
    <xdr:pic>
      <xdr:nvPicPr>
        <xdr:cNvPr id="147" name="Picture 146" descr="9.83" title="Recon Co (Mtr)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791700" y="3848100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480060</xdr:colOff>
      <xdr:row>22</xdr:row>
      <xdr:rowOff>114300</xdr:rowOff>
    </xdr:from>
    <xdr:to>
      <xdr:col>5</xdr:col>
      <xdr:colOff>1022651</xdr:colOff>
      <xdr:row>23</xdr:row>
      <xdr:rowOff>59511</xdr:rowOff>
    </xdr:to>
    <xdr:pic>
      <xdr:nvPicPr>
        <xdr:cNvPr id="148" name="Picture 147" descr="15.31" title="EN Co (BMP)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757410" y="22974300"/>
          <a:ext cx="542591" cy="859611"/>
        </a:xfrm>
        <a:prstGeom prst="rect">
          <a:avLst/>
        </a:prstGeom>
      </xdr:spPr>
    </xdr:pic>
    <xdr:clientData/>
  </xdr:twoCellAnchor>
  <xdr:twoCellAnchor editAs="oneCell">
    <xdr:from>
      <xdr:col>5</xdr:col>
      <xdr:colOff>438150</xdr:colOff>
      <xdr:row>26</xdr:row>
      <xdr:rowOff>133350</xdr:rowOff>
    </xdr:from>
    <xdr:to>
      <xdr:col>5</xdr:col>
      <xdr:colOff>980741</xdr:colOff>
      <xdr:row>27</xdr:row>
      <xdr:rowOff>102947</xdr:rowOff>
    </xdr:to>
    <xdr:pic>
      <xdr:nvPicPr>
        <xdr:cNvPr id="149" name="Picture 148" descr="28.01" title="Tank Bn (T-90)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9715500" y="2756535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5</xdr:col>
      <xdr:colOff>552450</xdr:colOff>
      <xdr:row>27</xdr:row>
      <xdr:rowOff>76200</xdr:rowOff>
    </xdr:from>
    <xdr:to>
      <xdr:col>5</xdr:col>
      <xdr:colOff>1095041</xdr:colOff>
      <xdr:row>28</xdr:row>
      <xdr:rowOff>57990</xdr:rowOff>
    </xdr:to>
    <xdr:pic>
      <xdr:nvPicPr>
        <xdr:cNvPr id="150" name="Picture 149" descr="6.04" title="Tank Co (T-90)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9829800" y="2842260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510540</xdr:colOff>
      <xdr:row>28</xdr:row>
      <xdr:rowOff>68580</xdr:rowOff>
    </xdr:from>
    <xdr:to>
      <xdr:col>5</xdr:col>
      <xdr:colOff>1053131</xdr:colOff>
      <xdr:row>29</xdr:row>
      <xdr:rowOff>56466</xdr:rowOff>
    </xdr:to>
    <xdr:pic>
      <xdr:nvPicPr>
        <xdr:cNvPr id="151" name="Picture 150" descr="7.24" title="Recon Co (Tank)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9787890" y="2932938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476250</xdr:colOff>
      <xdr:row>31</xdr:row>
      <xdr:rowOff>76200</xdr:rowOff>
    </xdr:from>
    <xdr:to>
      <xdr:col>5</xdr:col>
      <xdr:colOff>1018841</xdr:colOff>
      <xdr:row>32</xdr:row>
      <xdr:rowOff>57990</xdr:rowOff>
    </xdr:to>
    <xdr:pic>
      <xdr:nvPicPr>
        <xdr:cNvPr id="152" name="Picture 151" descr="31.55" title="Inf Bn (Mtr)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9753600" y="3299460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468630</xdr:colOff>
      <xdr:row>32</xdr:row>
      <xdr:rowOff>34290</xdr:rowOff>
    </xdr:from>
    <xdr:to>
      <xdr:col>5</xdr:col>
      <xdr:colOff>1011221</xdr:colOff>
      <xdr:row>33</xdr:row>
      <xdr:rowOff>22176</xdr:rowOff>
    </xdr:to>
    <xdr:pic>
      <xdr:nvPicPr>
        <xdr:cNvPr id="153" name="Picture 152" descr="5.57" title="Inf Co (Mtr)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745980" y="2929509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5</xdr:col>
      <xdr:colOff>468630</xdr:colOff>
      <xdr:row>21</xdr:row>
      <xdr:rowOff>57150</xdr:rowOff>
    </xdr:from>
    <xdr:to>
      <xdr:col>5</xdr:col>
      <xdr:colOff>1011221</xdr:colOff>
      <xdr:row>22</xdr:row>
      <xdr:rowOff>51133</xdr:rowOff>
    </xdr:to>
    <xdr:pic>
      <xdr:nvPicPr>
        <xdr:cNvPr id="154" name="Picture 153" descr="8.87" title="Recon Co (BMP)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745980" y="22002750"/>
          <a:ext cx="542591" cy="908383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29</xdr:row>
      <xdr:rowOff>30480</xdr:rowOff>
    </xdr:from>
    <xdr:to>
      <xdr:col>5</xdr:col>
      <xdr:colOff>1091231</xdr:colOff>
      <xdr:row>29</xdr:row>
      <xdr:rowOff>896187</xdr:rowOff>
    </xdr:to>
    <xdr:pic>
      <xdr:nvPicPr>
        <xdr:cNvPr id="155" name="Picture 154" descr="16.13" title="Engineer Co (Tank)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9825990" y="30205680"/>
          <a:ext cx="542591" cy="865707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79</xdr:row>
      <xdr:rowOff>64770</xdr:rowOff>
    </xdr:from>
    <xdr:to>
      <xdr:col>5</xdr:col>
      <xdr:colOff>993694</xdr:colOff>
      <xdr:row>79</xdr:row>
      <xdr:rowOff>711002</xdr:rowOff>
    </xdr:to>
    <xdr:pic>
      <xdr:nvPicPr>
        <xdr:cNvPr id="156" name="Picture 155" descr="25.91" title="ADA Bde (Mech Division)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9734550" y="86018370"/>
          <a:ext cx="536494" cy="646232"/>
        </a:xfrm>
        <a:prstGeom prst="rect">
          <a:avLst/>
        </a:prstGeom>
      </xdr:spPr>
    </xdr:pic>
    <xdr:clientData/>
  </xdr:twoCellAnchor>
  <xdr:twoCellAnchor editAs="oneCell">
    <xdr:from>
      <xdr:col>5</xdr:col>
      <xdr:colOff>499110</xdr:colOff>
      <xdr:row>15</xdr:row>
      <xdr:rowOff>38100</xdr:rowOff>
    </xdr:from>
    <xdr:to>
      <xdr:col>5</xdr:col>
      <xdr:colOff>1041701</xdr:colOff>
      <xdr:row>16</xdr:row>
      <xdr:rowOff>13793</xdr:rowOff>
    </xdr:to>
    <xdr:pic>
      <xdr:nvPicPr>
        <xdr:cNvPr id="157" name="Picture 156" descr="41.12" title="Infantry Bn (BMP-3)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776460" y="15582900"/>
          <a:ext cx="542591" cy="890093"/>
        </a:xfrm>
        <a:prstGeom prst="rect">
          <a:avLst/>
        </a:prstGeom>
      </xdr:spPr>
    </xdr:pic>
    <xdr:clientData/>
  </xdr:twoCellAnchor>
  <xdr:twoCellAnchor editAs="oneCell">
    <xdr:from>
      <xdr:col>5</xdr:col>
      <xdr:colOff>483870</xdr:colOff>
      <xdr:row>16</xdr:row>
      <xdr:rowOff>19050</xdr:rowOff>
    </xdr:from>
    <xdr:to>
      <xdr:col>5</xdr:col>
      <xdr:colOff>1026461</xdr:colOff>
      <xdr:row>16</xdr:row>
      <xdr:rowOff>909143</xdr:rowOff>
    </xdr:to>
    <xdr:pic>
      <xdr:nvPicPr>
        <xdr:cNvPr id="158" name="Picture 157" descr="8.3" title="Infantry Co (BMP-3)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761220" y="16478250"/>
          <a:ext cx="542591" cy="890093"/>
        </a:xfrm>
        <a:prstGeom prst="rect">
          <a:avLst/>
        </a:prstGeom>
      </xdr:spPr>
    </xdr:pic>
    <xdr:clientData/>
  </xdr:twoCellAnchor>
  <xdr:twoCellAnchor editAs="oneCell">
    <xdr:from>
      <xdr:col>5</xdr:col>
      <xdr:colOff>499110</xdr:colOff>
      <xdr:row>17</xdr:row>
      <xdr:rowOff>45720</xdr:rowOff>
    </xdr:from>
    <xdr:to>
      <xdr:col>5</xdr:col>
      <xdr:colOff>1041701</xdr:colOff>
      <xdr:row>18</xdr:row>
      <xdr:rowOff>88475</xdr:rowOff>
    </xdr:to>
    <xdr:pic>
      <xdr:nvPicPr>
        <xdr:cNvPr id="159" name="Picture 158" descr="28.96" title="Tank Bn (T-80U)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9776460" y="17419320"/>
          <a:ext cx="542591" cy="957155"/>
        </a:xfrm>
        <a:prstGeom prst="rect">
          <a:avLst/>
        </a:prstGeom>
      </xdr:spPr>
    </xdr:pic>
    <xdr:clientData/>
  </xdr:twoCellAnchor>
  <xdr:twoCellAnchor editAs="oneCell">
    <xdr:from>
      <xdr:col>5</xdr:col>
      <xdr:colOff>487680</xdr:colOff>
      <xdr:row>18</xdr:row>
      <xdr:rowOff>64770</xdr:rowOff>
    </xdr:from>
    <xdr:to>
      <xdr:col>5</xdr:col>
      <xdr:colOff>1030271</xdr:colOff>
      <xdr:row>19</xdr:row>
      <xdr:rowOff>46560</xdr:rowOff>
    </xdr:to>
    <xdr:pic>
      <xdr:nvPicPr>
        <xdr:cNvPr id="160" name="Picture 159" descr="6.34" title="Tank Co (T-80U)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765030" y="1835277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438150</xdr:colOff>
      <xdr:row>19</xdr:row>
      <xdr:rowOff>34290</xdr:rowOff>
    </xdr:from>
    <xdr:to>
      <xdr:col>5</xdr:col>
      <xdr:colOff>980741</xdr:colOff>
      <xdr:row>20</xdr:row>
      <xdr:rowOff>22176</xdr:rowOff>
    </xdr:to>
    <xdr:pic>
      <xdr:nvPicPr>
        <xdr:cNvPr id="161" name="Picture 160" descr="21.42" title="FA Bn (2S19)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715500" y="19236690"/>
          <a:ext cx="542591" cy="902286"/>
        </a:xfrm>
        <a:prstGeom prst="rect">
          <a:avLst/>
        </a:prstGeom>
      </xdr:spPr>
    </xdr:pic>
    <xdr:clientData/>
  </xdr:twoCellAnchor>
  <xdr:twoCellAnchor editAs="oneCell">
    <xdr:from>
      <xdr:col>5</xdr:col>
      <xdr:colOff>415290</xdr:colOff>
      <xdr:row>20</xdr:row>
      <xdr:rowOff>68580</xdr:rowOff>
    </xdr:from>
    <xdr:to>
      <xdr:col>5</xdr:col>
      <xdr:colOff>957881</xdr:colOff>
      <xdr:row>21</xdr:row>
      <xdr:rowOff>38177</xdr:rowOff>
    </xdr:to>
    <xdr:pic>
      <xdr:nvPicPr>
        <xdr:cNvPr id="162" name="Picture 161" descr="4.26" title="FA Btry (2S19)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9692640" y="2018538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5</xdr:col>
      <xdr:colOff>331470</xdr:colOff>
      <xdr:row>10</xdr:row>
      <xdr:rowOff>38100</xdr:rowOff>
    </xdr:from>
    <xdr:to>
      <xdr:col>5</xdr:col>
      <xdr:colOff>874061</xdr:colOff>
      <xdr:row>11</xdr:row>
      <xdr:rowOff>86951</xdr:rowOff>
    </xdr:to>
    <xdr:pic>
      <xdr:nvPicPr>
        <xdr:cNvPr id="163" name="Picture 162" descr="8.87" title="Recon Co (BTR-80)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608820" y="9182100"/>
          <a:ext cx="542591" cy="963251"/>
        </a:xfrm>
        <a:prstGeom prst="rect">
          <a:avLst/>
        </a:prstGeom>
      </xdr:spPr>
    </xdr:pic>
    <xdr:clientData/>
  </xdr:twoCellAnchor>
  <xdr:twoCellAnchor editAs="oneCell">
    <xdr:from>
      <xdr:col>5</xdr:col>
      <xdr:colOff>468630</xdr:colOff>
      <xdr:row>12</xdr:row>
      <xdr:rowOff>87630</xdr:rowOff>
    </xdr:from>
    <xdr:to>
      <xdr:col>5</xdr:col>
      <xdr:colOff>1011221</xdr:colOff>
      <xdr:row>13</xdr:row>
      <xdr:rowOff>69420</xdr:rowOff>
    </xdr:to>
    <xdr:pic>
      <xdr:nvPicPr>
        <xdr:cNvPr id="164" name="Picture 163" descr="36.3" title="Infantry Bn (BMP-2)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745980" y="1288923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476250</xdr:colOff>
      <xdr:row>13</xdr:row>
      <xdr:rowOff>99060</xdr:rowOff>
    </xdr:from>
    <xdr:to>
      <xdr:col>5</xdr:col>
      <xdr:colOff>1018841</xdr:colOff>
      <xdr:row>14</xdr:row>
      <xdr:rowOff>74753</xdr:rowOff>
    </xdr:to>
    <xdr:pic>
      <xdr:nvPicPr>
        <xdr:cNvPr id="165" name="Picture 164" descr="7.1" title="Infantry Co (BMP-2)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753600" y="13815060"/>
          <a:ext cx="542591" cy="890093"/>
        </a:xfrm>
        <a:prstGeom prst="rect">
          <a:avLst/>
        </a:prstGeom>
      </xdr:spPr>
    </xdr:pic>
    <xdr:clientData/>
  </xdr:twoCellAnchor>
  <xdr:twoCellAnchor editAs="oneCell">
    <xdr:from>
      <xdr:col>5</xdr:col>
      <xdr:colOff>479425</xdr:colOff>
      <xdr:row>14</xdr:row>
      <xdr:rowOff>60325</xdr:rowOff>
    </xdr:from>
    <xdr:to>
      <xdr:col>5</xdr:col>
      <xdr:colOff>1022016</xdr:colOff>
      <xdr:row>15</xdr:row>
      <xdr:rowOff>182335</xdr:rowOff>
    </xdr:to>
    <xdr:pic>
      <xdr:nvPicPr>
        <xdr:cNvPr id="2" name="Picture 1" descr="269.35" title="Infantry Bde (BMP-3/T-80U)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96425" y="12950825"/>
          <a:ext cx="542591" cy="1042760"/>
        </a:xfrm>
        <a:prstGeom prst="rect">
          <a:avLst/>
        </a:prstGeom>
      </xdr:spPr>
    </xdr:pic>
    <xdr:clientData/>
  </xdr:twoCellAnchor>
  <xdr:twoCellAnchor editAs="oneCell">
    <xdr:from>
      <xdr:col>5</xdr:col>
      <xdr:colOff>466725</xdr:colOff>
      <xdr:row>4</xdr:row>
      <xdr:rowOff>9525</xdr:rowOff>
    </xdr:from>
    <xdr:to>
      <xdr:col>5</xdr:col>
      <xdr:colOff>1009316</xdr:colOff>
      <xdr:row>5</xdr:row>
      <xdr:rowOff>64473</xdr:rowOff>
    </xdr:to>
    <xdr:pic>
      <xdr:nvPicPr>
        <xdr:cNvPr id="166" name="Picture 165" descr="8.67" title="Infantry Co (BTR-80)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9744075" y="3667125"/>
          <a:ext cx="542591" cy="969348"/>
        </a:xfrm>
        <a:prstGeom prst="rect">
          <a:avLst/>
        </a:prstGeom>
      </xdr:spPr>
    </xdr:pic>
    <xdr:clientData/>
  </xdr:twoCellAnchor>
  <xdr:twoCellAnchor editAs="oneCell">
    <xdr:from>
      <xdr:col>5</xdr:col>
      <xdr:colOff>453390</xdr:colOff>
      <xdr:row>5</xdr:row>
      <xdr:rowOff>41910</xdr:rowOff>
    </xdr:from>
    <xdr:to>
      <xdr:col>5</xdr:col>
      <xdr:colOff>995981</xdr:colOff>
      <xdr:row>6</xdr:row>
      <xdr:rowOff>11507</xdr:rowOff>
    </xdr:to>
    <xdr:pic>
      <xdr:nvPicPr>
        <xdr:cNvPr id="167" name="Picture 166" descr="25.47" title="Tank Bn (T-72A)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9730740" y="5528310"/>
          <a:ext cx="542591" cy="883997"/>
        </a:xfrm>
        <a:prstGeom prst="rect">
          <a:avLst/>
        </a:prstGeom>
      </xdr:spPr>
    </xdr:pic>
    <xdr:clientData/>
  </xdr:twoCellAnchor>
  <xdr:twoCellAnchor editAs="oneCell">
    <xdr:from>
      <xdr:col>5</xdr:col>
      <xdr:colOff>438150</xdr:colOff>
      <xdr:row>6</xdr:row>
      <xdr:rowOff>72390</xdr:rowOff>
    </xdr:from>
    <xdr:to>
      <xdr:col>5</xdr:col>
      <xdr:colOff>980741</xdr:colOff>
      <xdr:row>7</xdr:row>
      <xdr:rowOff>54180</xdr:rowOff>
    </xdr:to>
    <xdr:pic>
      <xdr:nvPicPr>
        <xdr:cNvPr id="168" name="Picture 167" descr="5.22" title="Tank Co (T-72A)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9715500" y="6473190"/>
          <a:ext cx="542591" cy="896190"/>
        </a:xfrm>
        <a:prstGeom prst="rect">
          <a:avLst/>
        </a:prstGeom>
      </xdr:spPr>
    </xdr:pic>
    <xdr:clientData/>
  </xdr:twoCellAnchor>
  <xdr:twoCellAnchor editAs="oneCell">
    <xdr:from>
      <xdr:col>5</xdr:col>
      <xdr:colOff>407670</xdr:colOff>
      <xdr:row>7</xdr:row>
      <xdr:rowOff>87630</xdr:rowOff>
    </xdr:from>
    <xdr:to>
      <xdr:col>5</xdr:col>
      <xdr:colOff>950261</xdr:colOff>
      <xdr:row>8</xdr:row>
      <xdr:rowOff>93806</xdr:rowOff>
    </xdr:to>
    <xdr:pic>
      <xdr:nvPicPr>
        <xdr:cNvPr id="169" name="Picture 168" descr="21.42" title="FA Bn (G5)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685020" y="7402830"/>
          <a:ext cx="542591" cy="920576"/>
        </a:xfrm>
        <a:prstGeom prst="rect">
          <a:avLst/>
        </a:prstGeom>
      </xdr:spPr>
    </xdr:pic>
    <xdr:clientData/>
  </xdr:twoCellAnchor>
  <xdr:twoCellAnchor editAs="oneCell">
    <xdr:from>
      <xdr:col>5</xdr:col>
      <xdr:colOff>440055</xdr:colOff>
      <xdr:row>8</xdr:row>
      <xdr:rowOff>86360</xdr:rowOff>
    </xdr:from>
    <xdr:to>
      <xdr:col>5</xdr:col>
      <xdr:colOff>976549</xdr:colOff>
      <xdr:row>9</xdr:row>
      <xdr:rowOff>86439</xdr:rowOff>
    </xdr:to>
    <xdr:pic>
      <xdr:nvPicPr>
        <xdr:cNvPr id="170" name="Picture 169" descr="4.26" title="FA Btry (G5)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57055" y="7452360"/>
          <a:ext cx="536494" cy="920829"/>
        </a:xfrm>
        <a:prstGeom prst="rect">
          <a:avLst/>
        </a:prstGeom>
      </xdr:spPr>
    </xdr:pic>
    <xdr:clientData/>
  </xdr:twoCellAnchor>
  <xdr:twoCellAnchor editAs="oneCell">
    <xdr:from>
      <xdr:col>5</xdr:col>
      <xdr:colOff>361950</xdr:colOff>
      <xdr:row>9</xdr:row>
      <xdr:rowOff>118110</xdr:rowOff>
    </xdr:from>
    <xdr:to>
      <xdr:col>5</xdr:col>
      <xdr:colOff>904541</xdr:colOff>
      <xdr:row>10</xdr:row>
      <xdr:rowOff>32838</xdr:rowOff>
    </xdr:to>
    <xdr:pic>
      <xdr:nvPicPr>
        <xdr:cNvPr id="171" name="Picture 170" descr="3.24" title="SP Combo Gun Btry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9639300" y="9262110"/>
          <a:ext cx="542591" cy="829128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3</xdr:row>
      <xdr:rowOff>28575</xdr:rowOff>
    </xdr:from>
    <xdr:to>
      <xdr:col>5</xdr:col>
      <xdr:colOff>999791</xdr:colOff>
      <xdr:row>4</xdr:row>
      <xdr:rowOff>71330</xdr:rowOff>
    </xdr:to>
    <xdr:pic>
      <xdr:nvPicPr>
        <xdr:cNvPr id="172" name="Picture 171" descr="42.9" title="Infantry Bn (BTR-80)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9734550" y="2771775"/>
          <a:ext cx="542591" cy="957155"/>
        </a:xfrm>
        <a:prstGeom prst="rect">
          <a:avLst/>
        </a:prstGeom>
      </xdr:spPr>
    </xdr:pic>
    <xdr:clientData/>
  </xdr:twoCellAnchor>
  <xdr:twoCellAnchor editAs="oneCell">
    <xdr:from>
      <xdr:col>5</xdr:col>
      <xdr:colOff>455930</xdr:colOff>
      <xdr:row>2</xdr:row>
      <xdr:rowOff>0</xdr:rowOff>
    </xdr:from>
    <xdr:to>
      <xdr:col>5</xdr:col>
      <xdr:colOff>998521</xdr:colOff>
      <xdr:row>3</xdr:row>
      <xdr:rowOff>122010</xdr:rowOff>
    </xdr:to>
    <xdr:pic>
      <xdr:nvPicPr>
        <xdr:cNvPr id="173" name="Picture 172" descr="274.8" title="Infantry Bde (BTR-80/T-72A)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739630" y="2667000"/>
          <a:ext cx="542591" cy="1036410"/>
        </a:xfrm>
        <a:prstGeom prst="rect">
          <a:avLst/>
        </a:prstGeom>
      </xdr:spPr>
    </xdr:pic>
    <xdr:clientData/>
  </xdr:twoCellAnchor>
  <xdr:twoCellAnchor editAs="oneCell">
    <xdr:from>
      <xdr:col>5</xdr:col>
      <xdr:colOff>500380</xdr:colOff>
      <xdr:row>11</xdr:row>
      <xdr:rowOff>38100</xdr:rowOff>
    </xdr:from>
    <xdr:to>
      <xdr:col>5</xdr:col>
      <xdr:colOff>1030524</xdr:colOff>
      <xdr:row>12</xdr:row>
      <xdr:rowOff>154013</xdr:rowOff>
    </xdr:to>
    <xdr:pic>
      <xdr:nvPicPr>
        <xdr:cNvPr id="174" name="Picture 173" descr="251.05" title="Infantry Bde (BMP-2/T-80U)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9777730" y="10096500"/>
          <a:ext cx="530144" cy="1030313"/>
        </a:xfrm>
        <a:prstGeom prst="rect">
          <a:avLst/>
        </a:prstGeom>
      </xdr:spPr>
    </xdr:pic>
    <xdr:clientData/>
  </xdr:twoCellAnchor>
  <xdr:twoCellAnchor editAs="oneCell">
    <xdr:from>
      <xdr:col>5</xdr:col>
      <xdr:colOff>432435</xdr:colOff>
      <xdr:row>23</xdr:row>
      <xdr:rowOff>38100</xdr:rowOff>
    </xdr:from>
    <xdr:to>
      <xdr:col>5</xdr:col>
      <xdr:colOff>968676</xdr:colOff>
      <xdr:row>24</xdr:row>
      <xdr:rowOff>154013</xdr:rowOff>
    </xdr:to>
    <xdr:pic>
      <xdr:nvPicPr>
        <xdr:cNvPr id="175" name="Picture 174" descr="211.95" title="Tank Bde (T72A/BMP-2)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9709785" y="21069300"/>
          <a:ext cx="536241" cy="1030313"/>
        </a:xfrm>
        <a:prstGeom prst="rect">
          <a:avLst/>
        </a:prstGeom>
      </xdr:spPr>
    </xdr:pic>
    <xdr:clientData/>
  </xdr:twoCellAnchor>
  <xdr:twoCellAnchor editAs="oneCell">
    <xdr:from>
      <xdr:col>5</xdr:col>
      <xdr:colOff>329565</xdr:colOff>
      <xdr:row>24</xdr:row>
      <xdr:rowOff>90805</xdr:rowOff>
    </xdr:from>
    <xdr:to>
      <xdr:col>5</xdr:col>
      <xdr:colOff>872156</xdr:colOff>
      <xdr:row>25</xdr:row>
      <xdr:rowOff>206718</xdr:rowOff>
    </xdr:to>
    <xdr:pic>
      <xdr:nvPicPr>
        <xdr:cNvPr id="176" name="Picture 175" descr="222.64" title="Tank Bde (T-80U/BMP-2)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9606915" y="22036405"/>
          <a:ext cx="542591" cy="1030313"/>
        </a:xfrm>
        <a:prstGeom prst="rect">
          <a:avLst/>
        </a:prstGeom>
      </xdr:spPr>
    </xdr:pic>
    <xdr:clientData/>
  </xdr:twoCellAnchor>
  <xdr:twoCellAnchor editAs="oneCell">
    <xdr:from>
      <xdr:col>5</xdr:col>
      <xdr:colOff>642620</xdr:colOff>
      <xdr:row>25</xdr:row>
      <xdr:rowOff>81915</xdr:rowOff>
    </xdr:from>
    <xdr:to>
      <xdr:col>5</xdr:col>
      <xdr:colOff>1178861</xdr:colOff>
      <xdr:row>26</xdr:row>
      <xdr:rowOff>197828</xdr:rowOff>
    </xdr:to>
    <xdr:pic>
      <xdr:nvPicPr>
        <xdr:cNvPr id="177" name="Picture 176" descr="230.49" title="Tank Bde (T-90/BMP-3)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919970" y="22941915"/>
          <a:ext cx="536241" cy="1030313"/>
        </a:xfrm>
        <a:prstGeom prst="rect">
          <a:avLst/>
        </a:prstGeom>
      </xdr:spPr>
    </xdr:pic>
    <xdr:clientData/>
  </xdr:twoCellAnchor>
  <xdr:twoCellAnchor editAs="oneCell">
    <xdr:from>
      <xdr:col>5</xdr:col>
      <xdr:colOff>412750</xdr:colOff>
      <xdr:row>30</xdr:row>
      <xdr:rowOff>45720</xdr:rowOff>
    </xdr:from>
    <xdr:to>
      <xdr:col>5</xdr:col>
      <xdr:colOff>948991</xdr:colOff>
      <xdr:row>31</xdr:row>
      <xdr:rowOff>39703</xdr:rowOff>
    </xdr:to>
    <xdr:pic>
      <xdr:nvPicPr>
        <xdr:cNvPr id="178" name="Picture 177" descr="240.18" title="Inf Bde (Mtr)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9696450" y="32049720"/>
          <a:ext cx="536241" cy="908383"/>
        </a:xfrm>
        <a:prstGeom prst="rect">
          <a:avLst/>
        </a:prstGeom>
      </xdr:spPr>
    </xdr:pic>
    <xdr:clientData/>
  </xdr:twoCellAnchor>
  <xdr:twoCellAnchor editAs="oneCell">
    <xdr:from>
      <xdr:col>5</xdr:col>
      <xdr:colOff>478790</xdr:colOff>
      <xdr:row>39</xdr:row>
      <xdr:rowOff>55880</xdr:rowOff>
    </xdr:from>
    <xdr:to>
      <xdr:col>5</xdr:col>
      <xdr:colOff>1008934</xdr:colOff>
      <xdr:row>39</xdr:row>
      <xdr:rowOff>775270</xdr:rowOff>
    </xdr:to>
    <xdr:pic>
      <xdr:nvPicPr>
        <xdr:cNvPr id="179" name="Picture 178" descr="192.89" title="Inf Bde (Light)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9762490" y="41203880"/>
          <a:ext cx="530144" cy="71939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444500</xdr:colOff>
      <xdr:row>42</xdr:row>
      <xdr:rowOff>55880</xdr:rowOff>
    </xdr:from>
    <xdr:to>
      <xdr:col>5</xdr:col>
      <xdr:colOff>987091</xdr:colOff>
      <xdr:row>42</xdr:row>
      <xdr:rowOff>720402</xdr:rowOff>
    </xdr:to>
    <xdr:pic>
      <xdr:nvPicPr>
        <xdr:cNvPr id="180" name="Picture 179" descr="75.13" title="Guerilla Bde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9728200" y="44861480"/>
          <a:ext cx="542591" cy="664522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62</xdr:row>
      <xdr:rowOff>116840</xdr:rowOff>
    </xdr:from>
    <xdr:to>
      <xdr:col>5</xdr:col>
      <xdr:colOff>987344</xdr:colOff>
      <xdr:row>62</xdr:row>
      <xdr:rowOff>756975</xdr:rowOff>
    </xdr:to>
    <xdr:pic>
      <xdr:nvPicPr>
        <xdr:cNvPr id="181" name="Picture 180" descr="131.55" title="FA Bde (Mech Division)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9740900" y="65953640"/>
          <a:ext cx="530144" cy="640135"/>
        </a:xfrm>
        <a:prstGeom prst="rect">
          <a:avLst/>
        </a:prstGeom>
      </xdr:spPr>
    </xdr:pic>
    <xdr:clientData/>
  </xdr:twoCellAnchor>
  <xdr:twoCellAnchor editAs="oneCell">
    <xdr:from>
      <xdr:col>5</xdr:col>
      <xdr:colOff>481330</xdr:colOff>
      <xdr:row>69</xdr:row>
      <xdr:rowOff>81280</xdr:rowOff>
    </xdr:from>
    <xdr:to>
      <xdr:col>5</xdr:col>
      <xdr:colOff>1011474</xdr:colOff>
      <xdr:row>69</xdr:row>
      <xdr:rowOff>721415</xdr:rowOff>
    </xdr:to>
    <xdr:pic>
      <xdr:nvPicPr>
        <xdr:cNvPr id="182" name="Picture 181" descr="104.15" title="FA Bde (MRL)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9765030" y="75976480"/>
          <a:ext cx="530144" cy="640135"/>
        </a:xfrm>
        <a:prstGeom prst="rect">
          <a:avLst/>
        </a:prstGeom>
      </xdr:spPr>
    </xdr:pic>
    <xdr:clientData/>
  </xdr:twoCellAnchor>
  <xdr:twoCellAnchor editAs="oneCell">
    <xdr:from>
      <xdr:col>5</xdr:col>
      <xdr:colOff>513080</xdr:colOff>
      <xdr:row>78</xdr:row>
      <xdr:rowOff>76200</xdr:rowOff>
    </xdr:from>
    <xdr:to>
      <xdr:col>5</xdr:col>
      <xdr:colOff>1055671</xdr:colOff>
      <xdr:row>78</xdr:row>
      <xdr:rowOff>716335</xdr:rowOff>
    </xdr:to>
    <xdr:pic>
      <xdr:nvPicPr>
        <xdr:cNvPr id="183" name="Picture 182" descr="122.8" title="FA Bde (Mtr Division)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9796780" y="85115400"/>
          <a:ext cx="542591" cy="640135"/>
        </a:xfrm>
        <a:prstGeom prst="rect">
          <a:avLst/>
        </a:prstGeom>
      </xdr:spPr>
    </xdr:pic>
    <xdr:clientData/>
  </xdr:twoCellAnchor>
  <xdr:twoCellAnchor editAs="oneCell">
    <xdr:from>
      <xdr:col>5</xdr:col>
      <xdr:colOff>482600</xdr:colOff>
      <xdr:row>56</xdr:row>
      <xdr:rowOff>88900</xdr:rowOff>
    </xdr:from>
    <xdr:to>
      <xdr:col>5</xdr:col>
      <xdr:colOff>1019094</xdr:colOff>
      <xdr:row>56</xdr:row>
      <xdr:rowOff>722939</xdr:rowOff>
    </xdr:to>
    <xdr:pic>
      <xdr:nvPicPr>
        <xdr:cNvPr id="3" name="Picture 2" descr="18.04" title="ADA Bn (Mech)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9766300" y="59524900"/>
          <a:ext cx="536494" cy="634039"/>
        </a:xfrm>
        <a:prstGeom prst="rect">
          <a:avLst/>
        </a:prstGeom>
      </xdr:spPr>
    </xdr:pic>
    <xdr:clientData/>
  </xdr:twoCellAnchor>
  <xdr:twoCellAnchor editAs="oneCell">
    <xdr:from>
      <xdr:col>2</xdr:col>
      <xdr:colOff>424180</xdr:colOff>
      <xdr:row>8</xdr:row>
      <xdr:rowOff>127000</xdr:rowOff>
    </xdr:from>
    <xdr:to>
      <xdr:col>2</xdr:col>
      <xdr:colOff>985061</xdr:colOff>
      <xdr:row>8</xdr:row>
      <xdr:rowOff>614722</xdr:rowOff>
    </xdr:to>
    <xdr:pic>
      <xdr:nvPicPr>
        <xdr:cNvPr id="193" name="Picture 192" descr="20.51" title="FA Bn (M777)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4335780" y="835660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2</xdr:col>
      <xdr:colOff>462280</xdr:colOff>
      <xdr:row>72</xdr:row>
      <xdr:rowOff>165100</xdr:rowOff>
    </xdr:from>
    <xdr:to>
      <xdr:col>2</xdr:col>
      <xdr:colOff>1023161</xdr:colOff>
      <xdr:row>72</xdr:row>
      <xdr:rowOff>640629</xdr:rowOff>
    </xdr:to>
    <xdr:pic>
      <xdr:nvPicPr>
        <xdr:cNvPr id="194" name="Picture 193" descr="15.72" title="AVN Bn (AH-64)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4373880" y="8154670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2</xdr:col>
      <xdr:colOff>351155</xdr:colOff>
      <xdr:row>76</xdr:row>
      <xdr:rowOff>247650</xdr:rowOff>
    </xdr:from>
    <xdr:to>
      <xdr:col>2</xdr:col>
      <xdr:colOff>912036</xdr:colOff>
      <xdr:row>76</xdr:row>
      <xdr:rowOff>851206</xdr:rowOff>
    </xdr:to>
    <xdr:pic>
      <xdr:nvPicPr>
        <xdr:cNvPr id="195" name="Picture 194" descr="40" title="CAS Sortie x5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4256405" y="69742050"/>
          <a:ext cx="560881" cy="603556"/>
        </a:xfrm>
        <a:prstGeom prst="rect">
          <a:avLst/>
        </a:prstGeom>
      </xdr:spPr>
    </xdr:pic>
    <xdr:clientData/>
  </xdr:twoCellAnchor>
  <xdr:twoCellAnchor editAs="oneCell">
    <xdr:from>
      <xdr:col>2</xdr:col>
      <xdr:colOff>319405</xdr:colOff>
      <xdr:row>77</xdr:row>
      <xdr:rowOff>212725</xdr:rowOff>
    </xdr:from>
    <xdr:to>
      <xdr:col>2</xdr:col>
      <xdr:colOff>874189</xdr:colOff>
      <xdr:row>77</xdr:row>
      <xdr:rowOff>816281</xdr:rowOff>
    </xdr:to>
    <xdr:pic>
      <xdr:nvPicPr>
        <xdr:cNvPr id="196" name="Picture 195" descr="80" title="CAS Sortie x10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4224655" y="70621525"/>
          <a:ext cx="554784" cy="603556"/>
        </a:xfrm>
        <a:prstGeom prst="rect">
          <a:avLst/>
        </a:prstGeom>
      </xdr:spPr>
    </xdr:pic>
    <xdr:clientData/>
  </xdr:twoCellAnchor>
  <xdr:twoCellAnchor editAs="oneCell">
    <xdr:from>
      <xdr:col>2</xdr:col>
      <xdr:colOff>441960</xdr:colOff>
      <xdr:row>71</xdr:row>
      <xdr:rowOff>185420</xdr:rowOff>
    </xdr:from>
    <xdr:to>
      <xdr:col>2</xdr:col>
      <xdr:colOff>1002841</xdr:colOff>
      <xdr:row>71</xdr:row>
      <xdr:rowOff>679239</xdr:rowOff>
    </xdr:to>
    <xdr:pic>
      <xdr:nvPicPr>
        <xdr:cNvPr id="197" name="Picture 196" descr="1.5" title="Avenger Btry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4353560" y="77909420"/>
          <a:ext cx="560881" cy="493819"/>
        </a:xfrm>
        <a:prstGeom prst="rect">
          <a:avLst/>
        </a:prstGeom>
      </xdr:spPr>
    </xdr:pic>
    <xdr:clientData/>
  </xdr:twoCellAnchor>
  <xdr:twoCellAnchor editAs="oneCell">
    <xdr:from>
      <xdr:col>2</xdr:col>
      <xdr:colOff>368300</xdr:colOff>
      <xdr:row>70</xdr:row>
      <xdr:rowOff>185420</xdr:rowOff>
    </xdr:from>
    <xdr:to>
      <xdr:col>2</xdr:col>
      <xdr:colOff>929181</xdr:colOff>
      <xdr:row>70</xdr:row>
      <xdr:rowOff>673142</xdr:rowOff>
    </xdr:to>
    <xdr:pic>
      <xdr:nvPicPr>
        <xdr:cNvPr id="198" name="Picture 197" descr="9.5" title="Avenger Bn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4279900" y="7699502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2</xdr:col>
      <xdr:colOff>388620</xdr:colOff>
      <xdr:row>65</xdr:row>
      <xdr:rowOff>144780</xdr:rowOff>
    </xdr:from>
    <xdr:to>
      <xdr:col>2</xdr:col>
      <xdr:colOff>949501</xdr:colOff>
      <xdr:row>65</xdr:row>
      <xdr:rowOff>650792</xdr:rowOff>
    </xdr:to>
    <xdr:pic>
      <xdr:nvPicPr>
        <xdr:cNvPr id="199" name="Picture 198" descr="12.3" title="MP Co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4300220" y="70553580"/>
          <a:ext cx="560881" cy="506012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73</xdr:row>
      <xdr:rowOff>203200</xdr:rowOff>
    </xdr:from>
    <xdr:to>
      <xdr:col>2</xdr:col>
      <xdr:colOff>1018081</xdr:colOff>
      <xdr:row>73</xdr:row>
      <xdr:rowOff>666536</xdr:rowOff>
    </xdr:to>
    <xdr:pic>
      <xdr:nvPicPr>
        <xdr:cNvPr id="200" name="Picture 199" descr="5.24" title="AVN Co (AH-64)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4368800" y="82499200"/>
          <a:ext cx="560881" cy="463336"/>
        </a:xfrm>
        <a:prstGeom prst="rect">
          <a:avLst/>
        </a:prstGeom>
      </xdr:spPr>
    </xdr:pic>
    <xdr:clientData/>
  </xdr:twoCellAnchor>
  <xdr:twoCellAnchor editAs="oneCell">
    <xdr:from>
      <xdr:col>2</xdr:col>
      <xdr:colOff>444500</xdr:colOff>
      <xdr:row>74</xdr:row>
      <xdr:rowOff>120015</xdr:rowOff>
    </xdr:from>
    <xdr:to>
      <xdr:col>2</xdr:col>
      <xdr:colOff>1005381</xdr:colOff>
      <xdr:row>74</xdr:row>
      <xdr:rowOff>571158</xdr:rowOff>
    </xdr:to>
    <xdr:pic>
      <xdr:nvPicPr>
        <xdr:cNvPr id="201" name="Picture 200" descr="8" title="CAS Sortie Equivalent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4349750" y="67785615"/>
          <a:ext cx="560881" cy="451143"/>
        </a:xfrm>
        <a:prstGeom prst="rect">
          <a:avLst/>
        </a:prstGeom>
      </xdr:spPr>
    </xdr:pic>
    <xdr:clientData/>
  </xdr:twoCellAnchor>
  <xdr:twoCellAnchor editAs="oneCell">
    <xdr:from>
      <xdr:col>2</xdr:col>
      <xdr:colOff>379095</xdr:colOff>
      <xdr:row>75</xdr:row>
      <xdr:rowOff>234950</xdr:rowOff>
    </xdr:from>
    <xdr:to>
      <xdr:col>2</xdr:col>
      <xdr:colOff>939976</xdr:colOff>
      <xdr:row>75</xdr:row>
      <xdr:rowOff>838506</xdr:rowOff>
    </xdr:to>
    <xdr:pic>
      <xdr:nvPicPr>
        <xdr:cNvPr id="202" name="Picture 201" descr="16" title="CAS Sortie x2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4284345" y="68814950"/>
          <a:ext cx="560881" cy="603556"/>
        </a:xfrm>
        <a:prstGeom prst="rect">
          <a:avLst/>
        </a:prstGeom>
      </xdr:spPr>
    </xdr:pic>
    <xdr:clientData/>
  </xdr:twoCellAnchor>
  <xdr:twoCellAnchor editAs="oneCell">
    <xdr:from>
      <xdr:col>2</xdr:col>
      <xdr:colOff>345440</xdr:colOff>
      <xdr:row>26</xdr:row>
      <xdr:rowOff>228600</xdr:rowOff>
    </xdr:from>
    <xdr:to>
      <xdr:col>2</xdr:col>
      <xdr:colOff>906321</xdr:colOff>
      <xdr:row>26</xdr:row>
      <xdr:rowOff>746805</xdr:rowOff>
    </xdr:to>
    <xdr:pic>
      <xdr:nvPicPr>
        <xdr:cNvPr id="203" name="Picture 10103" descr="14.16" title="Cav Sqdn (IBCT)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4257040" y="28575000"/>
          <a:ext cx="560881" cy="518205"/>
        </a:xfrm>
        <a:prstGeom prst="rect">
          <a:avLst/>
        </a:prstGeom>
      </xdr:spPr>
    </xdr:pic>
    <xdr:clientData/>
  </xdr:twoCellAnchor>
  <xdr:twoCellAnchor editAs="oneCell">
    <xdr:from>
      <xdr:col>2</xdr:col>
      <xdr:colOff>441960</xdr:colOff>
      <xdr:row>28</xdr:row>
      <xdr:rowOff>127000</xdr:rowOff>
    </xdr:from>
    <xdr:to>
      <xdr:col>2</xdr:col>
      <xdr:colOff>1002841</xdr:colOff>
      <xdr:row>28</xdr:row>
      <xdr:rowOff>669591</xdr:rowOff>
    </xdr:to>
    <xdr:pic>
      <xdr:nvPicPr>
        <xdr:cNvPr id="204" name="Picture 203" descr="17.6" title="FA Bn (Comp)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4353560" y="31216600"/>
          <a:ext cx="560881" cy="542591"/>
        </a:xfrm>
        <a:prstGeom prst="rect">
          <a:avLst/>
        </a:prstGeom>
      </xdr:spPr>
    </xdr:pic>
    <xdr:clientData/>
  </xdr:twoCellAnchor>
  <xdr:twoCellAnchor editAs="oneCell">
    <xdr:from>
      <xdr:col>2</xdr:col>
      <xdr:colOff>391160</xdr:colOff>
      <xdr:row>29</xdr:row>
      <xdr:rowOff>152400</xdr:rowOff>
    </xdr:from>
    <xdr:to>
      <xdr:col>2</xdr:col>
      <xdr:colOff>952041</xdr:colOff>
      <xdr:row>29</xdr:row>
      <xdr:rowOff>737667</xdr:rowOff>
    </xdr:to>
    <xdr:pic>
      <xdr:nvPicPr>
        <xdr:cNvPr id="205" name="Picture 204" descr="3.31" title="FA Btry (M119)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4302760" y="32156400"/>
          <a:ext cx="560881" cy="585267"/>
        </a:xfrm>
        <a:prstGeom prst="rect">
          <a:avLst/>
        </a:prstGeom>
      </xdr:spPr>
    </xdr:pic>
    <xdr:clientData/>
  </xdr:twoCellAnchor>
  <xdr:twoCellAnchor editAs="oneCell">
    <xdr:from>
      <xdr:col>2</xdr:col>
      <xdr:colOff>373380</xdr:colOff>
      <xdr:row>30</xdr:row>
      <xdr:rowOff>119380</xdr:rowOff>
    </xdr:from>
    <xdr:to>
      <xdr:col>2</xdr:col>
      <xdr:colOff>934261</xdr:colOff>
      <xdr:row>30</xdr:row>
      <xdr:rowOff>704647</xdr:rowOff>
    </xdr:to>
    <xdr:pic>
      <xdr:nvPicPr>
        <xdr:cNvPr id="206" name="Picture 205" descr="4.1" title="FA Btry (M777)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4284980" y="33037780"/>
          <a:ext cx="560881" cy="585267"/>
        </a:xfrm>
        <a:prstGeom prst="rect">
          <a:avLst/>
        </a:prstGeom>
      </xdr:spPr>
    </xdr:pic>
    <xdr:clientData/>
  </xdr:twoCellAnchor>
  <xdr:twoCellAnchor editAs="oneCell">
    <xdr:from>
      <xdr:col>2</xdr:col>
      <xdr:colOff>349250</xdr:colOff>
      <xdr:row>64</xdr:row>
      <xdr:rowOff>134620</xdr:rowOff>
    </xdr:from>
    <xdr:to>
      <xdr:col>2</xdr:col>
      <xdr:colOff>904034</xdr:colOff>
      <xdr:row>64</xdr:row>
      <xdr:rowOff>707694</xdr:rowOff>
    </xdr:to>
    <xdr:pic>
      <xdr:nvPicPr>
        <xdr:cNvPr id="207" name="Picture 206" descr="6.7" title="EN Co (Sapper)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4143375" y="59062620"/>
          <a:ext cx="554784" cy="573074"/>
        </a:xfrm>
        <a:prstGeom prst="rect">
          <a:avLst/>
        </a:prstGeom>
      </xdr:spPr>
    </xdr:pic>
    <xdr:clientData/>
  </xdr:twoCellAnchor>
  <xdr:twoCellAnchor editAs="oneCell">
    <xdr:from>
      <xdr:col>2</xdr:col>
      <xdr:colOff>350520</xdr:colOff>
      <xdr:row>67</xdr:row>
      <xdr:rowOff>157480</xdr:rowOff>
    </xdr:from>
    <xdr:to>
      <xdr:col>2</xdr:col>
      <xdr:colOff>911401</xdr:colOff>
      <xdr:row>67</xdr:row>
      <xdr:rowOff>645202</xdr:rowOff>
    </xdr:to>
    <xdr:pic>
      <xdr:nvPicPr>
        <xdr:cNvPr id="208" name="Picture 207" descr="5.25" title="FA Btry (MLRS)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4262120" y="7148068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2</xdr:col>
      <xdr:colOff>360680</xdr:colOff>
      <xdr:row>68</xdr:row>
      <xdr:rowOff>162560</xdr:rowOff>
    </xdr:from>
    <xdr:to>
      <xdr:col>2</xdr:col>
      <xdr:colOff>921561</xdr:colOff>
      <xdr:row>68</xdr:row>
      <xdr:rowOff>631993</xdr:rowOff>
    </xdr:to>
    <xdr:pic>
      <xdr:nvPicPr>
        <xdr:cNvPr id="209" name="Picture 208" descr="10.48" title="FA Bn (HIMARS)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4272280" y="72400160"/>
          <a:ext cx="560881" cy="469433"/>
        </a:xfrm>
        <a:prstGeom prst="rect">
          <a:avLst/>
        </a:prstGeom>
      </xdr:spPr>
    </xdr:pic>
    <xdr:clientData/>
  </xdr:twoCellAnchor>
  <xdr:twoCellAnchor editAs="oneCell">
    <xdr:from>
      <xdr:col>2</xdr:col>
      <xdr:colOff>375920</xdr:colOff>
      <xdr:row>16</xdr:row>
      <xdr:rowOff>190500</xdr:rowOff>
    </xdr:from>
    <xdr:to>
      <xdr:col>2</xdr:col>
      <xdr:colOff>936801</xdr:colOff>
      <xdr:row>16</xdr:row>
      <xdr:rowOff>708705</xdr:rowOff>
    </xdr:to>
    <xdr:pic>
      <xdr:nvPicPr>
        <xdr:cNvPr id="210" name="Picture 209" descr="39.88" title="Cav Sqdn (M1A2)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4287520" y="17564100"/>
          <a:ext cx="560881" cy="518205"/>
        </a:xfrm>
        <a:prstGeom prst="rect">
          <a:avLst/>
        </a:prstGeom>
      </xdr:spPr>
    </xdr:pic>
    <xdr:clientData/>
  </xdr:twoCellAnchor>
  <xdr:twoCellAnchor editAs="oneCell">
    <xdr:from>
      <xdr:col>2</xdr:col>
      <xdr:colOff>464820</xdr:colOff>
      <xdr:row>17</xdr:row>
      <xdr:rowOff>172720</xdr:rowOff>
    </xdr:from>
    <xdr:to>
      <xdr:col>2</xdr:col>
      <xdr:colOff>1019604</xdr:colOff>
      <xdr:row>17</xdr:row>
      <xdr:rowOff>690925</xdr:rowOff>
    </xdr:to>
    <xdr:pic>
      <xdr:nvPicPr>
        <xdr:cNvPr id="211" name="Picture 210" descr="8.55" title="Cav Trp (ABCT)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4376420" y="18460720"/>
          <a:ext cx="554784" cy="518205"/>
        </a:xfrm>
        <a:prstGeom prst="rect">
          <a:avLst/>
        </a:prstGeom>
      </xdr:spPr>
    </xdr:pic>
    <xdr:clientData/>
  </xdr:twoCellAnchor>
  <xdr:twoCellAnchor editAs="oneCell">
    <xdr:from>
      <xdr:col>2</xdr:col>
      <xdr:colOff>386080</xdr:colOff>
      <xdr:row>13</xdr:row>
      <xdr:rowOff>45720</xdr:rowOff>
    </xdr:from>
    <xdr:to>
      <xdr:col>2</xdr:col>
      <xdr:colOff>940864</xdr:colOff>
      <xdr:row>13</xdr:row>
      <xdr:rowOff>527346</xdr:rowOff>
    </xdr:to>
    <xdr:pic>
      <xdr:nvPicPr>
        <xdr:cNvPr id="212" name="Picture 211" descr="37.24" title="Combined Arms Bn (M1A2)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4297680" y="14676120"/>
          <a:ext cx="554784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426085</xdr:colOff>
      <xdr:row>20</xdr:row>
      <xdr:rowOff>182880</xdr:rowOff>
    </xdr:from>
    <xdr:to>
      <xdr:col>2</xdr:col>
      <xdr:colOff>980869</xdr:colOff>
      <xdr:row>20</xdr:row>
      <xdr:rowOff>670602</xdr:rowOff>
    </xdr:to>
    <xdr:pic>
      <xdr:nvPicPr>
        <xdr:cNvPr id="213" name="Picture 212" descr="21.31" title="EN Bn (ABCT)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4537710" y="18597880"/>
          <a:ext cx="554784" cy="487722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406400</xdr:colOff>
      <xdr:row>27</xdr:row>
      <xdr:rowOff>292100</xdr:rowOff>
    </xdr:from>
    <xdr:to>
      <xdr:col>2</xdr:col>
      <xdr:colOff>961184</xdr:colOff>
      <xdr:row>27</xdr:row>
      <xdr:rowOff>773726</xdr:rowOff>
    </xdr:to>
    <xdr:pic>
      <xdr:nvPicPr>
        <xdr:cNvPr id="214" name="Picture 10104" descr="5.01" title="Cav Trp (IBCT)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4318000" y="29552900"/>
          <a:ext cx="554784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485140</xdr:colOff>
      <xdr:row>66</xdr:row>
      <xdr:rowOff>111760</xdr:rowOff>
    </xdr:from>
    <xdr:to>
      <xdr:col>2</xdr:col>
      <xdr:colOff>1046021</xdr:colOff>
      <xdr:row>66</xdr:row>
      <xdr:rowOff>593386</xdr:rowOff>
    </xdr:to>
    <xdr:pic>
      <xdr:nvPicPr>
        <xdr:cNvPr id="215" name="Picture 214" descr="13.08" title="FA Bn (MLRS)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4396740" y="7052056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416560</xdr:colOff>
      <xdr:row>31</xdr:row>
      <xdr:rowOff>200660</xdr:rowOff>
    </xdr:from>
    <xdr:to>
      <xdr:col>2</xdr:col>
      <xdr:colOff>977441</xdr:colOff>
      <xdr:row>31</xdr:row>
      <xdr:rowOff>676189</xdr:rowOff>
    </xdr:to>
    <xdr:pic>
      <xdr:nvPicPr>
        <xdr:cNvPr id="216" name="Picture 215" descr="13.17" title="EN Bn (IBCT)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4328160" y="3311906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2</xdr:col>
      <xdr:colOff>408940</xdr:colOff>
      <xdr:row>32</xdr:row>
      <xdr:rowOff>205740</xdr:rowOff>
    </xdr:from>
    <xdr:to>
      <xdr:col>2</xdr:col>
      <xdr:colOff>969821</xdr:colOff>
      <xdr:row>32</xdr:row>
      <xdr:rowOff>687366</xdr:rowOff>
    </xdr:to>
    <xdr:pic>
      <xdr:nvPicPr>
        <xdr:cNvPr id="217" name="Picture 216" descr="3.75" title="EN A Co (IBCT)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4320540" y="3403854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415290</xdr:colOff>
      <xdr:row>23</xdr:row>
      <xdr:rowOff>155575</xdr:rowOff>
    </xdr:from>
    <xdr:to>
      <xdr:col>2</xdr:col>
      <xdr:colOff>982267</xdr:colOff>
      <xdr:row>23</xdr:row>
      <xdr:rowOff>765228</xdr:rowOff>
    </xdr:to>
    <xdr:pic>
      <xdr:nvPicPr>
        <xdr:cNvPr id="218" name="Picture 217" descr="19.09" title="Infantry Bn (IBCT)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4526915" y="21332825"/>
          <a:ext cx="566977" cy="609653"/>
        </a:xfrm>
        <a:prstGeom prst="rect">
          <a:avLst/>
        </a:prstGeom>
      </xdr:spPr>
    </xdr:pic>
    <xdr:clientData/>
  </xdr:twoCellAnchor>
  <xdr:twoCellAnchor editAs="oneCell">
    <xdr:from>
      <xdr:col>2</xdr:col>
      <xdr:colOff>416560</xdr:colOff>
      <xdr:row>24</xdr:row>
      <xdr:rowOff>205740</xdr:rowOff>
    </xdr:from>
    <xdr:to>
      <xdr:col>2</xdr:col>
      <xdr:colOff>983537</xdr:colOff>
      <xdr:row>24</xdr:row>
      <xdr:rowOff>815393</xdr:rowOff>
    </xdr:to>
    <xdr:pic>
      <xdr:nvPicPr>
        <xdr:cNvPr id="219" name="Picture 218" descr="2.7" title="Infantry Co (IBCT)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4528185" y="22303740"/>
          <a:ext cx="566977" cy="609653"/>
        </a:xfrm>
        <a:prstGeom prst="rect">
          <a:avLst/>
        </a:prstGeom>
      </xdr:spPr>
    </xdr:pic>
    <xdr:clientData/>
  </xdr:twoCellAnchor>
  <xdr:twoCellAnchor editAs="oneCell">
    <xdr:from>
      <xdr:col>2</xdr:col>
      <xdr:colOff>393700</xdr:colOff>
      <xdr:row>22</xdr:row>
      <xdr:rowOff>182880</xdr:rowOff>
    </xdr:from>
    <xdr:to>
      <xdr:col>2</xdr:col>
      <xdr:colOff>960677</xdr:colOff>
      <xdr:row>22</xdr:row>
      <xdr:rowOff>792533</xdr:rowOff>
    </xdr:to>
    <xdr:pic>
      <xdr:nvPicPr>
        <xdr:cNvPr id="220" name="Picture 219" descr="131.3" title="Infantry Bde (IBCT)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4505325" y="20439380"/>
          <a:ext cx="566977" cy="609653"/>
        </a:xfrm>
        <a:prstGeom prst="rect">
          <a:avLst/>
        </a:prstGeom>
      </xdr:spPr>
    </xdr:pic>
    <xdr:clientData/>
  </xdr:twoCellAnchor>
  <xdr:twoCellAnchor editAs="oneCell">
    <xdr:from>
      <xdr:col>2</xdr:col>
      <xdr:colOff>373380</xdr:colOff>
      <xdr:row>25</xdr:row>
      <xdr:rowOff>243840</xdr:rowOff>
    </xdr:from>
    <xdr:to>
      <xdr:col>2</xdr:col>
      <xdr:colOff>934261</xdr:colOff>
      <xdr:row>25</xdr:row>
      <xdr:rowOff>847396</xdr:rowOff>
    </xdr:to>
    <xdr:pic>
      <xdr:nvPicPr>
        <xdr:cNvPr id="221" name="Picture 220" descr="4.38" title="Weapons Co (IBCT)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4284980" y="27675840"/>
          <a:ext cx="560881" cy="603556"/>
        </a:xfrm>
        <a:prstGeom prst="rect">
          <a:avLst/>
        </a:prstGeom>
      </xdr:spPr>
    </xdr:pic>
    <xdr:clientData/>
  </xdr:twoCellAnchor>
  <xdr:twoCellAnchor editAs="oneCell">
    <xdr:from>
      <xdr:col>2</xdr:col>
      <xdr:colOff>436880</xdr:colOff>
      <xdr:row>5</xdr:row>
      <xdr:rowOff>203200</xdr:rowOff>
    </xdr:from>
    <xdr:to>
      <xdr:col>2</xdr:col>
      <xdr:colOff>997761</xdr:colOff>
      <xdr:row>5</xdr:row>
      <xdr:rowOff>690922</xdr:rowOff>
    </xdr:to>
    <xdr:pic>
      <xdr:nvPicPr>
        <xdr:cNvPr id="222" name="Picture 221" descr="32.71" title="Cav Sqdn (SBCT)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4348480" y="568960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2</xdr:col>
      <xdr:colOff>363220</xdr:colOff>
      <xdr:row>7</xdr:row>
      <xdr:rowOff>190500</xdr:rowOff>
    </xdr:from>
    <xdr:to>
      <xdr:col>2</xdr:col>
      <xdr:colOff>924101</xdr:colOff>
      <xdr:row>7</xdr:row>
      <xdr:rowOff>659933</xdr:rowOff>
    </xdr:to>
    <xdr:pic>
      <xdr:nvPicPr>
        <xdr:cNvPr id="223" name="Picture 222" descr="9.29" title="Weapons Trp (SBCT)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4274820" y="7505700"/>
          <a:ext cx="560881" cy="469433"/>
        </a:xfrm>
        <a:prstGeom prst="rect">
          <a:avLst/>
        </a:prstGeom>
      </xdr:spPr>
    </xdr:pic>
    <xdr:clientData/>
  </xdr:twoCellAnchor>
  <xdr:twoCellAnchor editAs="oneCell">
    <xdr:from>
      <xdr:col>2</xdr:col>
      <xdr:colOff>492760</xdr:colOff>
      <xdr:row>9</xdr:row>
      <xdr:rowOff>152400</xdr:rowOff>
    </xdr:from>
    <xdr:to>
      <xdr:col>2</xdr:col>
      <xdr:colOff>1053641</xdr:colOff>
      <xdr:row>9</xdr:row>
      <xdr:rowOff>615736</xdr:rowOff>
    </xdr:to>
    <xdr:pic>
      <xdr:nvPicPr>
        <xdr:cNvPr id="224" name="Picture 223" descr="3.45" title="FA Btry (SBCT) (M777)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4404360" y="9296400"/>
          <a:ext cx="560881" cy="463336"/>
        </a:xfrm>
        <a:prstGeom prst="rect">
          <a:avLst/>
        </a:prstGeom>
      </xdr:spPr>
    </xdr:pic>
    <xdr:clientData/>
  </xdr:twoCellAnchor>
  <xdr:twoCellAnchor editAs="oneCell">
    <xdr:from>
      <xdr:col>2</xdr:col>
      <xdr:colOff>452120</xdr:colOff>
      <xdr:row>12</xdr:row>
      <xdr:rowOff>236220</xdr:rowOff>
    </xdr:from>
    <xdr:to>
      <xdr:col>2</xdr:col>
      <xdr:colOff>1013001</xdr:colOff>
      <xdr:row>12</xdr:row>
      <xdr:rowOff>717846</xdr:rowOff>
    </xdr:to>
    <xdr:pic>
      <xdr:nvPicPr>
        <xdr:cNvPr id="225" name="Picture 224" descr="248.99" title="Armored Bde (ABCT) (M1A2)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4363720" y="1395222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14</xdr:row>
      <xdr:rowOff>152400</xdr:rowOff>
    </xdr:from>
    <xdr:to>
      <xdr:col>2</xdr:col>
      <xdr:colOff>1018081</xdr:colOff>
      <xdr:row>14</xdr:row>
      <xdr:rowOff>627929</xdr:rowOff>
    </xdr:to>
    <xdr:pic>
      <xdr:nvPicPr>
        <xdr:cNvPr id="226" name="Picture 225" descr="8.95" title="Infantry Co (M2A2)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4368800" y="1569720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2</xdr:col>
      <xdr:colOff>444500</xdr:colOff>
      <xdr:row>18</xdr:row>
      <xdr:rowOff>139700</xdr:rowOff>
    </xdr:from>
    <xdr:to>
      <xdr:col>2</xdr:col>
      <xdr:colOff>1005381</xdr:colOff>
      <xdr:row>18</xdr:row>
      <xdr:rowOff>633519</xdr:rowOff>
    </xdr:to>
    <xdr:pic>
      <xdr:nvPicPr>
        <xdr:cNvPr id="227" name="Picture 226" descr="28.13" title="FA Bn (M109A6)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4356100" y="19342100"/>
          <a:ext cx="560881" cy="493819"/>
        </a:xfrm>
        <a:prstGeom prst="rect">
          <a:avLst/>
        </a:prstGeom>
      </xdr:spPr>
    </xdr:pic>
    <xdr:clientData/>
  </xdr:twoCellAnchor>
  <xdr:twoCellAnchor editAs="oneCell">
    <xdr:from>
      <xdr:col>2</xdr:col>
      <xdr:colOff>452120</xdr:colOff>
      <xdr:row>19</xdr:row>
      <xdr:rowOff>86360</xdr:rowOff>
    </xdr:from>
    <xdr:to>
      <xdr:col>2</xdr:col>
      <xdr:colOff>1006904</xdr:colOff>
      <xdr:row>19</xdr:row>
      <xdr:rowOff>580179</xdr:rowOff>
    </xdr:to>
    <xdr:pic>
      <xdr:nvPicPr>
        <xdr:cNvPr id="228" name="Picture 227" descr="5.87" title="FA Btry (M109A6)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4363720" y="20203160"/>
          <a:ext cx="554784" cy="493819"/>
        </a:xfrm>
        <a:prstGeom prst="rect">
          <a:avLst/>
        </a:prstGeom>
      </xdr:spPr>
    </xdr:pic>
    <xdr:clientData/>
  </xdr:twoCellAnchor>
  <xdr:twoCellAnchor editAs="oneCell">
    <xdr:from>
      <xdr:col>2</xdr:col>
      <xdr:colOff>424180</xdr:colOff>
      <xdr:row>21</xdr:row>
      <xdr:rowOff>129540</xdr:rowOff>
    </xdr:from>
    <xdr:to>
      <xdr:col>2</xdr:col>
      <xdr:colOff>985061</xdr:colOff>
      <xdr:row>21</xdr:row>
      <xdr:rowOff>611166</xdr:rowOff>
    </xdr:to>
    <xdr:pic>
      <xdr:nvPicPr>
        <xdr:cNvPr id="229" name="Picture 228" descr="7.95" title="EN A Co (ABCT)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4335780" y="2207514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355600</xdr:colOff>
      <xdr:row>69</xdr:row>
      <xdr:rowOff>154940</xdr:rowOff>
    </xdr:from>
    <xdr:to>
      <xdr:col>2</xdr:col>
      <xdr:colOff>916481</xdr:colOff>
      <xdr:row>69</xdr:row>
      <xdr:rowOff>636566</xdr:rowOff>
    </xdr:to>
    <xdr:pic>
      <xdr:nvPicPr>
        <xdr:cNvPr id="230" name="Picture 229" descr="4.2" title="FA Btry (HIMARS)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4267200" y="69649340"/>
          <a:ext cx="560881" cy="481626"/>
        </a:xfrm>
        <a:prstGeom prst="rect">
          <a:avLst/>
        </a:prstGeom>
      </xdr:spPr>
    </xdr:pic>
    <xdr:clientData/>
  </xdr:twoCellAnchor>
  <xdr:twoCellAnchor editAs="oneCell">
    <xdr:from>
      <xdr:col>2</xdr:col>
      <xdr:colOff>422910</xdr:colOff>
      <xdr:row>3</xdr:row>
      <xdr:rowOff>196850</xdr:rowOff>
    </xdr:from>
    <xdr:to>
      <xdr:col>2</xdr:col>
      <xdr:colOff>983791</xdr:colOff>
      <xdr:row>3</xdr:row>
      <xdr:rowOff>684572</xdr:rowOff>
    </xdr:to>
    <xdr:pic>
      <xdr:nvPicPr>
        <xdr:cNvPr id="232" name="Picture 10101" descr="33.45" title="Infantry Bn (SBCT)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4217035" y="2959100"/>
          <a:ext cx="560881" cy="487722"/>
        </a:xfrm>
        <a:prstGeom prst="rect">
          <a:avLst/>
        </a:prstGeom>
      </xdr:spPr>
    </xdr:pic>
    <xdr:clientData/>
  </xdr:twoCellAnchor>
  <xdr:twoCellAnchor editAs="oneCell">
    <xdr:from>
      <xdr:col>2</xdr:col>
      <xdr:colOff>417195</xdr:colOff>
      <xdr:row>4</xdr:row>
      <xdr:rowOff>226060</xdr:rowOff>
    </xdr:from>
    <xdr:to>
      <xdr:col>2</xdr:col>
      <xdr:colOff>978076</xdr:colOff>
      <xdr:row>4</xdr:row>
      <xdr:rowOff>701589</xdr:rowOff>
    </xdr:to>
    <xdr:pic>
      <xdr:nvPicPr>
        <xdr:cNvPr id="233" name="Picture 10102" descr="8.57" title="Infantry Co (SBCT)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4211320" y="390906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2</xdr:col>
      <xdr:colOff>487680</xdr:colOff>
      <xdr:row>6</xdr:row>
      <xdr:rowOff>114300</xdr:rowOff>
    </xdr:from>
    <xdr:to>
      <xdr:col>2</xdr:col>
      <xdr:colOff>1048561</xdr:colOff>
      <xdr:row>6</xdr:row>
      <xdr:rowOff>589829</xdr:rowOff>
    </xdr:to>
    <xdr:pic>
      <xdr:nvPicPr>
        <xdr:cNvPr id="234" name="Picture 233" descr="7" title="Cav Trp (SBCT)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4399280" y="6515100"/>
          <a:ext cx="560881" cy="475529"/>
        </a:xfrm>
        <a:prstGeom prst="rect">
          <a:avLst/>
        </a:prstGeom>
      </xdr:spPr>
    </xdr:pic>
    <xdr:clientData/>
  </xdr:twoCellAnchor>
  <xdr:twoCellAnchor editAs="oneCell">
    <xdr:from>
      <xdr:col>2</xdr:col>
      <xdr:colOff>454660</xdr:colOff>
      <xdr:row>15</xdr:row>
      <xdr:rowOff>182880</xdr:rowOff>
    </xdr:from>
    <xdr:to>
      <xdr:col>2</xdr:col>
      <xdr:colOff>1015541</xdr:colOff>
      <xdr:row>15</xdr:row>
      <xdr:rowOff>658409</xdr:rowOff>
    </xdr:to>
    <xdr:pic>
      <xdr:nvPicPr>
        <xdr:cNvPr id="236" name="Picture 235" descr="7.8" title="Tank Co (M1A2)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4366260" y="16642080"/>
          <a:ext cx="560881" cy="475529"/>
        </a:xfrm>
        <a:prstGeom prst="rect">
          <a:avLst/>
        </a:prstGeom>
      </xdr:spPr>
    </xdr:pic>
    <xdr:clientData/>
  </xdr:twoCellAnchor>
  <xdr:twoCellAnchor>
    <xdr:from>
      <xdr:col>2</xdr:col>
      <xdr:colOff>452366</xdr:colOff>
      <xdr:row>11</xdr:row>
      <xdr:rowOff>74108</xdr:rowOff>
    </xdr:from>
    <xdr:to>
      <xdr:col>2</xdr:col>
      <xdr:colOff>1000053</xdr:colOff>
      <xdr:row>11</xdr:row>
      <xdr:rowOff>568953</xdr:rowOff>
    </xdr:to>
    <xdr:grpSp>
      <xdr:nvGrpSpPr>
        <xdr:cNvPr id="237" name="Group 236" descr="6.45" title="Infantry Bde (BMP-2/T-80U)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GrpSpPr/>
      </xdr:nvGrpSpPr>
      <xdr:grpSpPr>
        <a:xfrm>
          <a:off x="4563991" y="10202358"/>
          <a:ext cx="547687" cy="494845"/>
          <a:chOff x="7289656" y="6578240"/>
          <a:chExt cx="547687" cy="495299"/>
        </a:xfrm>
      </xdr:grpSpPr>
      <xdr:grpSp>
        <xdr:nvGrpSpPr>
          <xdr:cNvPr id="238" name="Group 237" descr="6.45">
            <a:extLst>
              <a:ext uri="{FF2B5EF4-FFF2-40B4-BE49-F238E27FC236}">
                <a16:creationId xmlns:a16="http://schemas.microsoft.com/office/drawing/2014/main" id="{00000000-0008-0000-0700-0000EE000000}"/>
              </a:ext>
            </a:extLst>
          </xdr:cNvPr>
          <xdr:cNvGrpSpPr/>
        </xdr:nvGrpSpPr>
        <xdr:grpSpPr>
          <a:xfrm>
            <a:off x="7289656" y="6578240"/>
            <a:ext cx="547687" cy="495299"/>
            <a:chOff x="3749386" y="3653849"/>
            <a:chExt cx="547687" cy="495299"/>
          </a:xfrm>
        </xdr:grpSpPr>
        <xdr:grpSp>
          <xdr:nvGrpSpPr>
            <xdr:cNvPr id="240" name="Group 239">
              <a:extLst>
                <a:ext uri="{FF2B5EF4-FFF2-40B4-BE49-F238E27FC236}">
                  <a16:creationId xmlns:a16="http://schemas.microsoft.com/office/drawing/2014/main" id="{00000000-0008-0000-0700-0000F0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49386" y="3784023"/>
              <a:ext cx="547687" cy="365125"/>
              <a:chOff x="3224" y="1347"/>
              <a:chExt cx="345" cy="230"/>
            </a:xfrm>
          </xdr:grpSpPr>
          <xdr:sp macro="" textlink="">
            <xdr:nvSpPr>
              <xdr:cNvPr id="242" name="Rectangle 241">
                <a:extLst>
                  <a:ext uri="{FF2B5EF4-FFF2-40B4-BE49-F238E27FC236}">
                    <a16:creationId xmlns:a16="http://schemas.microsoft.com/office/drawing/2014/main" id="{00000000-0008-0000-0700-0000F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224" y="1347"/>
                <a:ext cx="345" cy="230"/>
              </a:xfrm>
              <a:prstGeom prst="rect">
                <a:avLst/>
              </a:prstGeom>
              <a:solidFill>
                <a:srgbClr val="80E0FF"/>
              </a:solidFill>
              <a:ln w="12700">
                <a:solidFill>
                  <a:srgbClr val="000000"/>
                </a:solidFill>
                <a:miter lim="800000"/>
                <a:headEnd/>
                <a:tailEnd/>
              </a:ln>
            </xdr:spPr>
            <xdr:txBody>
              <a:bodyPr wrap="square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/>
              </a:p>
            </xdr:txBody>
          </xdr:sp>
          <xdr:grpSp>
            <xdr:nvGrpSpPr>
              <xdr:cNvPr id="243" name="Group 242">
                <a:extLst>
                  <a:ext uri="{FF2B5EF4-FFF2-40B4-BE49-F238E27FC236}">
                    <a16:creationId xmlns:a16="http://schemas.microsoft.com/office/drawing/2014/main" id="{00000000-0008-0000-0700-0000F3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311" y="1417"/>
                <a:ext cx="172" cy="89"/>
                <a:chOff x="1773" y="1420"/>
                <a:chExt cx="172" cy="89"/>
              </a:xfrm>
            </xdr:grpSpPr>
            <xdr:sp macro="" textlink="">
              <xdr:nvSpPr>
                <xdr:cNvPr id="244" name="Line 31">
                  <a:extLst>
                    <a:ext uri="{FF2B5EF4-FFF2-40B4-BE49-F238E27FC236}">
                      <a16:creationId xmlns:a16="http://schemas.microsoft.com/office/drawing/2014/main" id="{00000000-0008-0000-0700-0000F400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859" y="1423"/>
                  <a:ext cx="0" cy="70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  <xdr:sp macro="" textlink="">
              <xdr:nvSpPr>
                <xdr:cNvPr id="245" name="Line 32">
                  <a:extLst>
                    <a:ext uri="{FF2B5EF4-FFF2-40B4-BE49-F238E27FC236}">
                      <a16:creationId xmlns:a16="http://schemas.microsoft.com/office/drawing/2014/main" id="{00000000-0008-0000-0700-0000F500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773" y="1423"/>
                  <a:ext cx="0" cy="86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  <xdr:sp macro="" textlink="">
              <xdr:nvSpPr>
                <xdr:cNvPr id="246" name="Line 33">
                  <a:extLst>
                    <a:ext uri="{FF2B5EF4-FFF2-40B4-BE49-F238E27FC236}">
                      <a16:creationId xmlns:a16="http://schemas.microsoft.com/office/drawing/2014/main" id="{00000000-0008-0000-0700-0000F600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944" y="1423"/>
                  <a:ext cx="0" cy="86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  <xdr:sp macro="" textlink="">
              <xdr:nvSpPr>
                <xdr:cNvPr id="247" name="Line 34">
                  <a:extLst>
                    <a:ext uri="{FF2B5EF4-FFF2-40B4-BE49-F238E27FC236}">
                      <a16:creationId xmlns:a16="http://schemas.microsoft.com/office/drawing/2014/main" id="{00000000-0008-0000-0700-0000F700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774" y="1420"/>
                  <a:ext cx="171" cy="0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</xdr:grpSp>
        </xdr:grpSp>
        <xdr:sp macro="" textlink="">
          <xdr:nvSpPr>
            <xdr:cNvPr id="241" name="Line 129">
              <a:extLst>
                <a:ext uri="{FF2B5EF4-FFF2-40B4-BE49-F238E27FC236}">
                  <a16:creationId xmlns:a16="http://schemas.microsoft.com/office/drawing/2014/main" id="{00000000-0008-0000-0700-0000F100000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4017121" y="3653849"/>
              <a:ext cx="0" cy="8713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none" w="sm" len="sm"/>
              <a:tailEnd type="none" w="sm" len="sm"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</xdr:grpSp>
      <xdr:sp macro="" textlink="">
        <xdr:nvSpPr>
          <xdr:cNvPr id="239" name="Oval 238">
            <a:extLst>
              <a:ext uri="{FF2B5EF4-FFF2-40B4-BE49-F238E27FC236}">
                <a16:creationId xmlns:a16="http://schemas.microsoft.com/office/drawing/2014/main" id="{00000000-0008-0000-0700-0000EF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7361743" y="6790245"/>
            <a:ext cx="411162" cy="212725"/>
          </a:xfrm>
          <a:prstGeom prst="ellips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</xdr:col>
      <xdr:colOff>431800</xdr:colOff>
      <xdr:row>10</xdr:row>
      <xdr:rowOff>101600</xdr:rowOff>
    </xdr:from>
    <xdr:to>
      <xdr:col>2</xdr:col>
      <xdr:colOff>979487</xdr:colOff>
      <xdr:row>10</xdr:row>
      <xdr:rowOff>596445</xdr:rowOff>
    </xdr:to>
    <xdr:grpSp>
      <xdr:nvGrpSpPr>
        <xdr:cNvPr id="248" name="Group 247" descr="18.79" title="Recon Co (BTR-80)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GrpSpPr/>
      </xdr:nvGrpSpPr>
      <xdr:grpSpPr>
        <a:xfrm>
          <a:off x="4543425" y="9309100"/>
          <a:ext cx="547687" cy="494845"/>
          <a:chOff x="6318971" y="6591445"/>
          <a:chExt cx="547687" cy="495299"/>
        </a:xfrm>
      </xdr:grpSpPr>
      <xdr:grpSp>
        <xdr:nvGrpSpPr>
          <xdr:cNvPr id="249" name="Group 248" descr="18.79">
            <a:extLst>
              <a:ext uri="{FF2B5EF4-FFF2-40B4-BE49-F238E27FC236}">
                <a16:creationId xmlns:a16="http://schemas.microsoft.com/office/drawing/2014/main" id="{00000000-0008-0000-0700-0000F9000000}"/>
              </a:ext>
            </a:extLst>
          </xdr:cNvPr>
          <xdr:cNvGrpSpPr/>
        </xdr:nvGrpSpPr>
        <xdr:grpSpPr>
          <a:xfrm>
            <a:off x="6318971" y="6591445"/>
            <a:ext cx="547687" cy="495299"/>
            <a:chOff x="3749386" y="3653849"/>
            <a:chExt cx="547687" cy="495299"/>
          </a:xfrm>
        </xdr:grpSpPr>
        <xdr:grpSp>
          <xdr:nvGrpSpPr>
            <xdr:cNvPr id="251" name="Group 250">
              <a:extLst>
                <a:ext uri="{FF2B5EF4-FFF2-40B4-BE49-F238E27FC236}">
                  <a16:creationId xmlns:a16="http://schemas.microsoft.com/office/drawing/2014/main" id="{00000000-0008-0000-0700-0000F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49386" y="3784023"/>
              <a:ext cx="547687" cy="365125"/>
              <a:chOff x="3224" y="1347"/>
              <a:chExt cx="345" cy="230"/>
            </a:xfrm>
          </xdr:grpSpPr>
          <xdr:sp macro="" textlink="">
            <xdr:nvSpPr>
              <xdr:cNvPr id="255" name="Rectangle 254">
                <a:extLst>
                  <a:ext uri="{FF2B5EF4-FFF2-40B4-BE49-F238E27FC236}">
                    <a16:creationId xmlns:a16="http://schemas.microsoft.com/office/drawing/2014/main" id="{00000000-0008-0000-0700-0000F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224" y="1347"/>
                <a:ext cx="345" cy="230"/>
              </a:xfrm>
              <a:prstGeom prst="rect">
                <a:avLst/>
              </a:prstGeom>
              <a:solidFill>
                <a:srgbClr val="80E0FF"/>
              </a:solidFill>
              <a:ln w="12700">
                <a:solidFill>
                  <a:schemeClr val="tx1"/>
                </a:solidFill>
                <a:miter lim="800000"/>
                <a:headEnd/>
                <a:tailEnd/>
              </a:ln>
            </xdr:spPr>
            <xdr:txBody>
              <a:bodyPr wrap="square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/>
              </a:p>
            </xdr:txBody>
          </xdr:sp>
          <xdr:grpSp>
            <xdr:nvGrpSpPr>
              <xdr:cNvPr id="256" name="Group 255">
                <a:extLst>
                  <a:ext uri="{FF2B5EF4-FFF2-40B4-BE49-F238E27FC236}">
                    <a16:creationId xmlns:a16="http://schemas.microsoft.com/office/drawing/2014/main" id="{00000000-0008-0000-0700-00000001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311" y="1417"/>
                <a:ext cx="172" cy="89"/>
                <a:chOff x="1773" y="1420"/>
                <a:chExt cx="172" cy="89"/>
              </a:xfrm>
            </xdr:grpSpPr>
            <xdr:sp macro="" textlink="">
              <xdr:nvSpPr>
                <xdr:cNvPr id="257" name="Line 31">
                  <a:extLst>
                    <a:ext uri="{FF2B5EF4-FFF2-40B4-BE49-F238E27FC236}">
                      <a16:creationId xmlns:a16="http://schemas.microsoft.com/office/drawing/2014/main" id="{00000000-0008-0000-0700-00000101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859" y="1423"/>
                  <a:ext cx="0" cy="70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  <xdr:sp macro="" textlink="">
              <xdr:nvSpPr>
                <xdr:cNvPr id="258" name="Line 32">
                  <a:extLst>
                    <a:ext uri="{FF2B5EF4-FFF2-40B4-BE49-F238E27FC236}">
                      <a16:creationId xmlns:a16="http://schemas.microsoft.com/office/drawing/2014/main" id="{00000000-0008-0000-0700-00000201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773" y="1423"/>
                  <a:ext cx="0" cy="86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  <xdr:sp macro="" textlink="">
              <xdr:nvSpPr>
                <xdr:cNvPr id="259" name="Line 33">
                  <a:extLst>
                    <a:ext uri="{FF2B5EF4-FFF2-40B4-BE49-F238E27FC236}">
                      <a16:creationId xmlns:a16="http://schemas.microsoft.com/office/drawing/2014/main" id="{00000000-0008-0000-0700-00000301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944" y="1423"/>
                  <a:ext cx="0" cy="86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  <xdr:sp macro="" textlink="">
              <xdr:nvSpPr>
                <xdr:cNvPr id="260" name="Line 34">
                  <a:extLst>
                    <a:ext uri="{FF2B5EF4-FFF2-40B4-BE49-F238E27FC236}">
                      <a16:creationId xmlns:a16="http://schemas.microsoft.com/office/drawing/2014/main" id="{00000000-0008-0000-0700-000004010000}"/>
                    </a:ext>
                  </a:extLst>
                </xdr:cNvPr>
                <xdr:cNvSpPr>
                  <a:spLocks noChangeAspect="1" noChangeShapeType="1"/>
                </xdr:cNvSpPr>
              </xdr:nvSpPr>
              <xdr:spPr bwMode="auto">
                <a:xfrm>
                  <a:off x="1774" y="1420"/>
                  <a:ext cx="171" cy="0"/>
                </a:xfrm>
                <a:prstGeom prst="line">
                  <a:avLst/>
                </a:prstGeom>
                <a:noFill/>
                <a:ln w="12700">
                  <a:solidFill>
                    <a:srgbClr val="000000"/>
                  </a:solidFill>
                  <a:round/>
                  <a:headEnd type="none" w="sm" len="sm"/>
                  <a:tailEnd type="none" w="sm" len="sm"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US"/>
                </a:p>
              </xdr:txBody>
            </xdr:sp>
          </xdr:grpSp>
        </xdr:grpSp>
        <xdr:grpSp>
          <xdr:nvGrpSpPr>
            <xdr:cNvPr id="252" name="Group 251">
              <a:extLst>
                <a:ext uri="{FF2B5EF4-FFF2-40B4-BE49-F238E27FC236}">
                  <a16:creationId xmlns:a16="http://schemas.microsoft.com/office/drawing/2014/main" id="{00000000-0008-0000-0700-0000FC000000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3989906" y="3653849"/>
              <a:ext cx="75947" cy="87131"/>
              <a:chOff x="3195" y="1627"/>
              <a:chExt cx="47" cy="104"/>
            </a:xfrm>
          </xdr:grpSpPr>
          <xdr:sp macro="" textlink="">
            <xdr:nvSpPr>
              <xdr:cNvPr id="253" name="Line 129">
                <a:extLst>
                  <a:ext uri="{FF2B5EF4-FFF2-40B4-BE49-F238E27FC236}">
                    <a16:creationId xmlns:a16="http://schemas.microsoft.com/office/drawing/2014/main" id="{00000000-0008-0000-0700-0000FD0000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>
                <a:off x="3195" y="1627"/>
                <a:ext cx="0" cy="104"/>
              </a:xfrm>
              <a:prstGeom prst="line">
                <a:avLst/>
              </a:prstGeom>
              <a:noFill/>
              <a:ln w="12700">
                <a:solidFill>
                  <a:srgbClr val="000000"/>
                </a:solidFill>
                <a:round/>
                <a:headEnd type="none" w="sm" len="sm"/>
                <a:tailEnd type="none" w="sm" len="sm"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/>
              </a:p>
            </xdr:txBody>
          </xdr:sp>
          <xdr:sp macro="" textlink="">
            <xdr:nvSpPr>
              <xdr:cNvPr id="254" name="Line 130">
                <a:extLst>
                  <a:ext uri="{FF2B5EF4-FFF2-40B4-BE49-F238E27FC236}">
                    <a16:creationId xmlns:a16="http://schemas.microsoft.com/office/drawing/2014/main" id="{00000000-0008-0000-0700-0000FE0000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>
                <a:off x="3242" y="1627"/>
                <a:ext cx="0" cy="104"/>
              </a:xfrm>
              <a:prstGeom prst="line">
                <a:avLst/>
              </a:prstGeom>
              <a:noFill/>
              <a:ln w="12700">
                <a:solidFill>
                  <a:srgbClr val="000000"/>
                </a:solidFill>
                <a:round/>
                <a:headEnd type="none" w="sm" len="sm"/>
                <a:tailEnd type="none" w="sm" len="sm"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US"/>
              </a:p>
            </xdr:txBody>
          </xdr:sp>
        </xdr:grpSp>
      </xdr:grpSp>
      <xdr:sp macro="" textlink="">
        <xdr:nvSpPr>
          <xdr:cNvPr id="250" name="Oval 249">
            <a:extLst>
              <a:ext uri="{FF2B5EF4-FFF2-40B4-BE49-F238E27FC236}">
                <a16:creationId xmlns:a16="http://schemas.microsoft.com/office/drawing/2014/main" id="{00000000-0008-0000-0700-0000FA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6378501" y="6793851"/>
            <a:ext cx="411162" cy="212725"/>
          </a:xfrm>
          <a:prstGeom prst="ellips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 editAs="oneCell">
    <xdr:from>
      <xdr:col>2</xdr:col>
      <xdr:colOff>381000</xdr:colOff>
      <xdr:row>33</xdr:row>
      <xdr:rowOff>139700</xdr:rowOff>
    </xdr:from>
    <xdr:to>
      <xdr:col>2</xdr:col>
      <xdr:colOff>954074</xdr:colOff>
      <xdr:row>33</xdr:row>
      <xdr:rowOff>822511</xdr:rowOff>
    </xdr:to>
    <xdr:pic>
      <xdr:nvPicPr>
        <xdr:cNvPr id="4" name="Picture 3" descr="313.6" title="Armored Bde (GB)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4292600" y="32143700"/>
          <a:ext cx="573074" cy="682811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34</xdr:row>
      <xdr:rowOff>57150</xdr:rowOff>
    </xdr:from>
    <xdr:to>
      <xdr:col>2</xdr:col>
      <xdr:colOff>903781</xdr:colOff>
      <xdr:row>34</xdr:row>
      <xdr:rowOff>788733</xdr:rowOff>
    </xdr:to>
    <xdr:pic>
      <xdr:nvPicPr>
        <xdr:cNvPr id="6" name="Picture 5" descr="19.1" title="Recon Squadron (GB)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4254500" y="32975550"/>
          <a:ext cx="560881" cy="731583"/>
        </a:xfrm>
        <a:prstGeom prst="rect">
          <a:avLst/>
        </a:prstGeom>
      </xdr:spPr>
    </xdr:pic>
    <xdr:clientData/>
  </xdr:twoCellAnchor>
  <xdr:twoCellAnchor editAs="oneCell">
    <xdr:from>
      <xdr:col>2</xdr:col>
      <xdr:colOff>368300</xdr:colOff>
      <xdr:row>35</xdr:row>
      <xdr:rowOff>76200</xdr:rowOff>
    </xdr:from>
    <xdr:to>
      <xdr:col>2</xdr:col>
      <xdr:colOff>929181</xdr:colOff>
      <xdr:row>35</xdr:row>
      <xdr:rowOff>783397</xdr:rowOff>
    </xdr:to>
    <xdr:pic>
      <xdr:nvPicPr>
        <xdr:cNvPr id="8" name="Picture 7" descr="45.97" title="Mech Inf Bn (GB)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4279900" y="33909000"/>
          <a:ext cx="560881" cy="707197"/>
        </a:xfrm>
        <a:prstGeom prst="rect">
          <a:avLst/>
        </a:prstGeom>
      </xdr:spPr>
    </xdr:pic>
    <xdr:clientData/>
  </xdr:twoCellAnchor>
  <xdr:twoCellAnchor editAs="oneCell">
    <xdr:from>
      <xdr:col>2</xdr:col>
      <xdr:colOff>355600</xdr:colOff>
      <xdr:row>36</xdr:row>
      <xdr:rowOff>133350</xdr:rowOff>
    </xdr:from>
    <xdr:to>
      <xdr:col>2</xdr:col>
      <xdr:colOff>916481</xdr:colOff>
      <xdr:row>36</xdr:row>
      <xdr:rowOff>840547</xdr:rowOff>
    </xdr:to>
    <xdr:pic>
      <xdr:nvPicPr>
        <xdr:cNvPr id="10" name="Picture 9" descr="41.25" title="Armored Inf Bn (GB)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4267200" y="34880550"/>
          <a:ext cx="560881" cy="707197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342900</xdr:colOff>
      <xdr:row>37</xdr:row>
      <xdr:rowOff>146050</xdr:rowOff>
    </xdr:from>
    <xdr:to>
      <xdr:col>2</xdr:col>
      <xdr:colOff>903781</xdr:colOff>
      <xdr:row>37</xdr:row>
      <xdr:rowOff>859344</xdr:rowOff>
    </xdr:to>
    <xdr:pic>
      <xdr:nvPicPr>
        <xdr:cNvPr id="14" name="Picture 13" descr="19.09" title="Light Inf Bn (GB)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4254500" y="35807650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325582</xdr:colOff>
      <xdr:row>38</xdr:row>
      <xdr:rowOff>83127</xdr:rowOff>
    </xdr:from>
    <xdr:to>
      <xdr:col>2</xdr:col>
      <xdr:colOff>886463</xdr:colOff>
      <xdr:row>38</xdr:row>
      <xdr:rowOff>814710</xdr:rowOff>
    </xdr:to>
    <xdr:pic>
      <xdr:nvPicPr>
        <xdr:cNvPr id="17" name="Picture 16" descr="41.91" title="Tank Regt (GB)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4232564" y="36659127"/>
          <a:ext cx="560881" cy="731583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40</xdr:row>
      <xdr:rowOff>76200</xdr:rowOff>
    </xdr:from>
    <xdr:to>
      <xdr:col>2</xdr:col>
      <xdr:colOff>897684</xdr:colOff>
      <xdr:row>40</xdr:row>
      <xdr:rowOff>795590</xdr:rowOff>
    </xdr:to>
    <xdr:pic>
      <xdr:nvPicPr>
        <xdr:cNvPr id="20" name="Picture 19" descr="26.54" title="EN Regt (GB)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4251960" y="38481000"/>
          <a:ext cx="554784" cy="719390"/>
        </a:xfrm>
        <a:prstGeom prst="rect">
          <a:avLst/>
        </a:prstGeom>
      </xdr:spPr>
    </xdr:pic>
    <xdr:clientData/>
  </xdr:twoCellAnchor>
  <xdr:twoCellAnchor editAs="oneCell">
    <xdr:from>
      <xdr:col>2</xdr:col>
      <xdr:colOff>320040</xdr:colOff>
      <xdr:row>41</xdr:row>
      <xdr:rowOff>76200</xdr:rowOff>
    </xdr:from>
    <xdr:to>
      <xdr:col>2</xdr:col>
      <xdr:colOff>874824</xdr:colOff>
      <xdr:row>41</xdr:row>
      <xdr:rowOff>801687</xdr:rowOff>
    </xdr:to>
    <xdr:pic>
      <xdr:nvPicPr>
        <xdr:cNvPr id="21" name="Picture 20" descr="5.23" title="ADA Btry (GB)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4229100" y="39395400"/>
          <a:ext cx="554784" cy="725487"/>
        </a:xfrm>
        <a:prstGeom prst="rect">
          <a:avLst/>
        </a:prstGeom>
      </xdr:spPr>
    </xdr:pic>
    <xdr:clientData/>
  </xdr:twoCellAnchor>
  <xdr:twoCellAnchor editAs="oneCell">
    <xdr:from>
      <xdr:col>2</xdr:col>
      <xdr:colOff>284788</xdr:colOff>
      <xdr:row>42</xdr:row>
      <xdr:rowOff>76969</xdr:rowOff>
    </xdr:from>
    <xdr:to>
      <xdr:col>2</xdr:col>
      <xdr:colOff>845669</xdr:colOff>
      <xdr:row>42</xdr:row>
      <xdr:rowOff>784166</xdr:rowOff>
    </xdr:to>
    <xdr:pic>
      <xdr:nvPicPr>
        <xdr:cNvPr id="68" name="Picture 67" descr="184.34" title="Mechanized Bde (TR)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4194849" y="38546424"/>
          <a:ext cx="560881" cy="707197"/>
        </a:xfrm>
        <a:prstGeom prst="rect">
          <a:avLst/>
        </a:prstGeom>
      </xdr:spPr>
    </xdr:pic>
    <xdr:clientData/>
  </xdr:twoCellAnchor>
  <xdr:twoCellAnchor editAs="oneCell">
    <xdr:from>
      <xdr:col>2</xdr:col>
      <xdr:colOff>269394</xdr:colOff>
      <xdr:row>43</xdr:row>
      <xdr:rowOff>69272</xdr:rowOff>
    </xdr:from>
    <xdr:to>
      <xdr:col>2</xdr:col>
      <xdr:colOff>836371</xdr:colOff>
      <xdr:row>43</xdr:row>
      <xdr:rowOff>782566</xdr:rowOff>
    </xdr:to>
    <xdr:pic>
      <xdr:nvPicPr>
        <xdr:cNvPr id="72" name="Picture 71" descr="38.81" title="Mech Inf Bn (TR) (AIFV)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xfrm>
          <a:off x="4179455" y="39454666"/>
          <a:ext cx="566977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256854</xdr:colOff>
      <xdr:row>44</xdr:row>
      <xdr:rowOff>59932</xdr:rowOff>
    </xdr:from>
    <xdr:to>
      <xdr:col>2</xdr:col>
      <xdr:colOff>811638</xdr:colOff>
      <xdr:row>44</xdr:row>
      <xdr:rowOff>773226</xdr:rowOff>
    </xdr:to>
    <xdr:pic>
      <xdr:nvPicPr>
        <xdr:cNvPr id="73" name="Picture 72" descr="37.95" title="Tank Bn (TR) (Leo 2A4)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4161034" y="40368876"/>
          <a:ext cx="554784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239730</xdr:colOff>
      <xdr:row>45</xdr:row>
      <xdr:rowOff>42809</xdr:rowOff>
    </xdr:from>
    <xdr:to>
      <xdr:col>2</xdr:col>
      <xdr:colOff>800611</xdr:colOff>
      <xdr:row>45</xdr:row>
      <xdr:rowOff>756103</xdr:rowOff>
    </xdr:to>
    <xdr:pic>
      <xdr:nvPicPr>
        <xdr:cNvPr id="75" name="Picture 74" descr="28.13" title="FA Bn (TR) (155SP)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4143910" y="4126786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256854</xdr:colOff>
      <xdr:row>46</xdr:row>
      <xdr:rowOff>68494</xdr:rowOff>
    </xdr:from>
    <xdr:to>
      <xdr:col>2</xdr:col>
      <xdr:colOff>817735</xdr:colOff>
      <xdr:row>46</xdr:row>
      <xdr:rowOff>775691</xdr:rowOff>
    </xdr:to>
    <xdr:pic>
      <xdr:nvPicPr>
        <xdr:cNvPr id="77" name="Picture 76" descr="100.3477" title="Inf Bde (AZ)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xfrm>
          <a:off x="4161034" y="42209663"/>
          <a:ext cx="560881" cy="707197"/>
        </a:xfrm>
        <a:prstGeom prst="rect">
          <a:avLst/>
        </a:prstGeom>
      </xdr:spPr>
    </xdr:pic>
    <xdr:clientData/>
  </xdr:twoCellAnchor>
  <xdr:twoCellAnchor editAs="oneCell">
    <xdr:from>
      <xdr:col>2</xdr:col>
      <xdr:colOff>231168</xdr:colOff>
      <xdr:row>47</xdr:row>
      <xdr:rowOff>68494</xdr:rowOff>
    </xdr:from>
    <xdr:to>
      <xdr:col>2</xdr:col>
      <xdr:colOff>792049</xdr:colOff>
      <xdr:row>47</xdr:row>
      <xdr:rowOff>781788</xdr:rowOff>
    </xdr:to>
    <xdr:pic>
      <xdr:nvPicPr>
        <xdr:cNvPr id="78" name="Picture 77" descr="55.3968" title="Inf Bn (AZ)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xfrm>
          <a:off x="4135348" y="4312577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248293</xdr:colOff>
      <xdr:row>48</xdr:row>
      <xdr:rowOff>59932</xdr:rowOff>
    </xdr:from>
    <xdr:to>
      <xdr:col>2</xdr:col>
      <xdr:colOff>809174</xdr:colOff>
      <xdr:row>48</xdr:row>
      <xdr:rowOff>779322</xdr:rowOff>
    </xdr:to>
    <xdr:pic>
      <xdr:nvPicPr>
        <xdr:cNvPr id="79" name="Picture 78" descr="9.4272" title="Inf Co (AZ)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xfrm>
          <a:off x="4152473" y="44033325"/>
          <a:ext cx="560881" cy="719390"/>
        </a:xfrm>
        <a:prstGeom prst="rect">
          <a:avLst/>
        </a:prstGeom>
      </xdr:spPr>
    </xdr:pic>
    <xdr:clientData/>
  </xdr:twoCellAnchor>
  <xdr:twoCellAnchor editAs="oneCell">
    <xdr:from>
      <xdr:col>2</xdr:col>
      <xdr:colOff>239730</xdr:colOff>
      <xdr:row>49</xdr:row>
      <xdr:rowOff>77056</xdr:rowOff>
    </xdr:from>
    <xdr:to>
      <xdr:col>2</xdr:col>
      <xdr:colOff>800611</xdr:colOff>
      <xdr:row>49</xdr:row>
      <xdr:rowOff>790350</xdr:rowOff>
    </xdr:to>
    <xdr:pic>
      <xdr:nvPicPr>
        <xdr:cNvPr id="81" name="Picture 80" descr="25.47" title="Tank Bn (AZ) (T72)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xfrm>
          <a:off x="4143910" y="44966562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291101</xdr:colOff>
      <xdr:row>50</xdr:row>
      <xdr:rowOff>111303</xdr:rowOff>
    </xdr:from>
    <xdr:to>
      <xdr:col>2</xdr:col>
      <xdr:colOff>845885</xdr:colOff>
      <xdr:row>50</xdr:row>
      <xdr:rowOff>830693</xdr:rowOff>
    </xdr:to>
    <xdr:pic>
      <xdr:nvPicPr>
        <xdr:cNvPr id="82" name="Picture 81" descr="5.22" title="Tank Co (AZ) (T72)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xfrm>
          <a:off x="4195281" y="45916921"/>
          <a:ext cx="554784" cy="719390"/>
        </a:xfrm>
        <a:prstGeom prst="rect">
          <a:avLst/>
        </a:prstGeom>
      </xdr:spPr>
    </xdr:pic>
    <xdr:clientData/>
  </xdr:twoCellAnchor>
  <xdr:twoCellAnchor editAs="oneCell">
    <xdr:from>
      <xdr:col>2</xdr:col>
      <xdr:colOff>360665</xdr:colOff>
      <xdr:row>51</xdr:row>
      <xdr:rowOff>178942</xdr:rowOff>
    </xdr:from>
    <xdr:to>
      <xdr:col>2</xdr:col>
      <xdr:colOff>915449</xdr:colOff>
      <xdr:row>51</xdr:row>
      <xdr:rowOff>898332</xdr:rowOff>
    </xdr:to>
    <xdr:pic>
      <xdr:nvPicPr>
        <xdr:cNvPr id="85" name="Picture 84" descr="2.032" title="FA Btry (D-30)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4265915" y="46813342"/>
          <a:ext cx="554784" cy="719390"/>
        </a:xfrm>
        <a:prstGeom prst="rect">
          <a:avLst/>
        </a:prstGeom>
      </xdr:spPr>
    </xdr:pic>
    <xdr:clientData/>
  </xdr:twoCellAnchor>
  <xdr:twoCellAnchor editAs="oneCell">
    <xdr:from>
      <xdr:col>2</xdr:col>
      <xdr:colOff>282539</xdr:colOff>
      <xdr:row>52</xdr:row>
      <xdr:rowOff>128427</xdr:rowOff>
    </xdr:from>
    <xdr:to>
      <xdr:col>2</xdr:col>
      <xdr:colOff>849516</xdr:colOff>
      <xdr:row>52</xdr:row>
      <xdr:rowOff>835624</xdr:rowOff>
    </xdr:to>
    <xdr:pic>
      <xdr:nvPicPr>
        <xdr:cNvPr id="87" name="Picture 86" descr="64.8499" title="Mech Inf Bde (AZ)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4186719" y="48682382"/>
          <a:ext cx="566977" cy="707197"/>
        </a:xfrm>
        <a:prstGeom prst="rect">
          <a:avLst/>
        </a:prstGeom>
      </xdr:spPr>
    </xdr:pic>
    <xdr:clientData/>
  </xdr:twoCellAnchor>
  <xdr:twoCellAnchor editAs="oneCell">
    <xdr:from>
      <xdr:col>2</xdr:col>
      <xdr:colOff>291101</xdr:colOff>
      <xdr:row>53</xdr:row>
      <xdr:rowOff>42809</xdr:rowOff>
    </xdr:from>
    <xdr:to>
      <xdr:col>2</xdr:col>
      <xdr:colOff>858078</xdr:colOff>
      <xdr:row>53</xdr:row>
      <xdr:rowOff>817068</xdr:rowOff>
    </xdr:to>
    <xdr:pic>
      <xdr:nvPicPr>
        <xdr:cNvPr id="89" name="Picture 88" descr="124.8861" title="Mech Inf Bde (AZ) (BMP-2/Leo I)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xfrm>
          <a:off x="4195281" y="49512876"/>
          <a:ext cx="566977" cy="774259"/>
        </a:xfrm>
        <a:prstGeom prst="rect">
          <a:avLst/>
        </a:prstGeom>
      </xdr:spPr>
    </xdr:pic>
    <xdr:clientData/>
  </xdr:twoCellAnchor>
  <xdr:twoCellAnchor editAs="oneCell">
    <xdr:from>
      <xdr:col>2</xdr:col>
      <xdr:colOff>273978</xdr:colOff>
      <xdr:row>54</xdr:row>
      <xdr:rowOff>111303</xdr:rowOff>
    </xdr:from>
    <xdr:to>
      <xdr:col>2</xdr:col>
      <xdr:colOff>840955</xdr:colOff>
      <xdr:row>54</xdr:row>
      <xdr:rowOff>830693</xdr:rowOff>
    </xdr:to>
    <xdr:pic>
      <xdr:nvPicPr>
        <xdr:cNvPr id="93" name="Picture 92" descr="36.3" title="Mech Inf Bn (AZ) BMP-2)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4178158" y="50497483"/>
          <a:ext cx="566977" cy="719390"/>
        </a:xfrm>
        <a:prstGeom prst="rect">
          <a:avLst/>
        </a:prstGeom>
      </xdr:spPr>
    </xdr:pic>
    <xdr:clientData/>
  </xdr:twoCellAnchor>
  <xdr:twoCellAnchor editAs="oneCell">
    <xdr:from>
      <xdr:col>2</xdr:col>
      <xdr:colOff>299663</xdr:colOff>
      <xdr:row>55</xdr:row>
      <xdr:rowOff>85618</xdr:rowOff>
    </xdr:from>
    <xdr:to>
      <xdr:col>2</xdr:col>
      <xdr:colOff>866640</xdr:colOff>
      <xdr:row>55</xdr:row>
      <xdr:rowOff>805008</xdr:rowOff>
    </xdr:to>
    <xdr:pic>
      <xdr:nvPicPr>
        <xdr:cNvPr id="133" name="Picture 132" descr="7.1" title="Mech Inf Co (AZ) (BMP-2)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xfrm>
          <a:off x="4203843" y="51387910"/>
          <a:ext cx="566977" cy="719390"/>
        </a:xfrm>
        <a:prstGeom prst="rect">
          <a:avLst/>
        </a:prstGeom>
      </xdr:spPr>
    </xdr:pic>
    <xdr:clientData/>
  </xdr:twoCellAnchor>
  <xdr:twoCellAnchor editAs="oneCell">
    <xdr:from>
      <xdr:col>2</xdr:col>
      <xdr:colOff>299358</xdr:colOff>
      <xdr:row>56</xdr:row>
      <xdr:rowOff>122464</xdr:rowOff>
    </xdr:from>
    <xdr:to>
      <xdr:col>2</xdr:col>
      <xdr:colOff>866335</xdr:colOff>
      <xdr:row>56</xdr:row>
      <xdr:rowOff>829661</xdr:rowOff>
    </xdr:to>
    <xdr:pic>
      <xdr:nvPicPr>
        <xdr:cNvPr id="436" name="Picture 435" descr="74.2049" title="Tank Bde (AZ) (Leo I)"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4204608" y="52088143"/>
          <a:ext cx="566977" cy="707197"/>
        </a:xfrm>
        <a:prstGeom prst="rect">
          <a:avLst/>
        </a:prstGeom>
      </xdr:spPr>
    </xdr:pic>
    <xdr:clientData/>
  </xdr:twoCellAnchor>
  <xdr:twoCellAnchor editAs="oneCell">
    <xdr:from>
      <xdr:col>2</xdr:col>
      <xdr:colOff>330200</xdr:colOff>
      <xdr:row>57</xdr:row>
      <xdr:rowOff>101600</xdr:rowOff>
    </xdr:from>
    <xdr:to>
      <xdr:col>2</xdr:col>
      <xdr:colOff>884984</xdr:colOff>
      <xdr:row>57</xdr:row>
      <xdr:rowOff>814894</xdr:rowOff>
    </xdr:to>
    <xdr:pic>
      <xdr:nvPicPr>
        <xdr:cNvPr id="444" name="Picture 443" descr="34.78" title="Tank Bn (AZ) (Leo I)"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4241800" y="53136800"/>
          <a:ext cx="554784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58</xdr:row>
      <xdr:rowOff>76200</xdr:rowOff>
    </xdr:from>
    <xdr:to>
      <xdr:col>2</xdr:col>
      <xdr:colOff>884731</xdr:colOff>
      <xdr:row>58</xdr:row>
      <xdr:rowOff>789494</xdr:rowOff>
    </xdr:to>
    <xdr:pic>
      <xdr:nvPicPr>
        <xdr:cNvPr id="452" name="Picture 451" descr="6.7" title="Tank Co (AZ) (Leo I)"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4229100" y="54025800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276225</xdr:colOff>
      <xdr:row>59</xdr:row>
      <xdr:rowOff>57150</xdr:rowOff>
    </xdr:from>
    <xdr:to>
      <xdr:col>2</xdr:col>
      <xdr:colOff>843202</xdr:colOff>
      <xdr:row>59</xdr:row>
      <xdr:rowOff>758251</xdr:rowOff>
    </xdr:to>
    <xdr:pic>
      <xdr:nvPicPr>
        <xdr:cNvPr id="456" name="Picture 455" descr="129.5406" title="FA SP Bde (AZ)"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4181475" y="54921150"/>
          <a:ext cx="566977" cy="701101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61</xdr:row>
      <xdr:rowOff>85725</xdr:rowOff>
    </xdr:from>
    <xdr:to>
      <xdr:col>2</xdr:col>
      <xdr:colOff>865681</xdr:colOff>
      <xdr:row>61</xdr:row>
      <xdr:rowOff>799019</xdr:rowOff>
    </xdr:to>
    <xdr:pic>
      <xdr:nvPicPr>
        <xdr:cNvPr id="460" name="Picture 459" descr="4.0992" title="FA SP Btry (AZ)"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4210050" y="5677852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60</xdr:row>
      <xdr:rowOff>133350</xdr:rowOff>
    </xdr:from>
    <xdr:to>
      <xdr:col>2</xdr:col>
      <xdr:colOff>881302</xdr:colOff>
      <xdr:row>60</xdr:row>
      <xdr:rowOff>846644</xdr:rowOff>
    </xdr:to>
    <xdr:pic>
      <xdr:nvPicPr>
        <xdr:cNvPr id="463" name="Picture 462" descr="20.7795" title="FA SP Bn (AZ)"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4219575" y="54997350"/>
          <a:ext cx="566977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62</xdr:row>
      <xdr:rowOff>95250</xdr:rowOff>
    </xdr:from>
    <xdr:to>
      <xdr:col>2</xdr:col>
      <xdr:colOff>897684</xdr:colOff>
      <xdr:row>62</xdr:row>
      <xdr:rowOff>808544</xdr:rowOff>
    </xdr:to>
    <xdr:pic>
      <xdr:nvPicPr>
        <xdr:cNvPr id="468" name="Picture 467" descr="14.58" title="ADA Bn (AZ)"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4248150" y="56788050"/>
          <a:ext cx="554784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</xdr:row>
      <xdr:rowOff>104775</xdr:rowOff>
    </xdr:from>
    <xdr:to>
      <xdr:col>2</xdr:col>
      <xdr:colOff>922831</xdr:colOff>
      <xdr:row>63</xdr:row>
      <xdr:rowOff>818069</xdr:rowOff>
    </xdr:to>
    <xdr:pic>
      <xdr:nvPicPr>
        <xdr:cNvPr id="469" name="Picture 468" descr="6.363" title="ADA Btry (AZ)"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4267200" y="57711975"/>
          <a:ext cx="560881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335280</xdr:colOff>
      <xdr:row>39</xdr:row>
      <xdr:rowOff>106680</xdr:rowOff>
    </xdr:from>
    <xdr:to>
      <xdr:col>2</xdr:col>
      <xdr:colOff>896161</xdr:colOff>
      <xdr:row>39</xdr:row>
      <xdr:rowOff>819974</xdr:rowOff>
    </xdr:to>
    <xdr:pic>
      <xdr:nvPicPr>
        <xdr:cNvPr id="470" name="Picture 469" descr="33.42" title="FA Regt (GB)"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/>
        <a:stretch>
          <a:fillRect/>
        </a:stretch>
      </xdr:blipFill>
      <xdr:spPr>
        <a:xfrm>
          <a:off x="4251960" y="35768280"/>
          <a:ext cx="560881" cy="7132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4</xdr:row>
          <xdr:rowOff>304800</xdr:rowOff>
        </xdr:from>
        <xdr:to>
          <xdr:col>12</xdr:col>
          <xdr:colOff>361950</xdr:colOff>
          <xdr:row>6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Unit Force Metrics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389255</xdr:colOff>
      <xdr:row>2</xdr:row>
      <xdr:rowOff>200025</xdr:rowOff>
    </xdr:from>
    <xdr:to>
      <xdr:col>2</xdr:col>
      <xdr:colOff>950136</xdr:colOff>
      <xdr:row>2</xdr:row>
      <xdr:rowOff>675554</xdr:rowOff>
    </xdr:to>
    <xdr:pic>
      <xdr:nvPicPr>
        <xdr:cNvPr id="9" name="Picture 10100" descr="208.61" title="Infantry Bde (SBCT)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4500880" y="2041525"/>
          <a:ext cx="560881" cy="4755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241227363.mil/Documents/AWA%20Wargame/Force%20Rati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le-Spurlin/Documents/Force%20Analysis/Correlation%20of%20Forces%20Calculator%20(Army%202020)(Mod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241227363.mil/Documents/Wargamming/Develop/Force%20Rat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 and Instructions"/>
      <sheetName val="Force Ratios"/>
      <sheetName val="Data"/>
      <sheetName val="Damage Table"/>
      <sheetName val="DA vs DD"/>
      <sheetName val="DA vs HD"/>
      <sheetName val="HA vs DD"/>
      <sheetName val="HA vs HD"/>
      <sheetName val="ME vs M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% of Friendly Forces</v>
          </cell>
          <cell r="B3">
            <v>0.16666666666666666</v>
          </cell>
          <cell r="D3">
            <v>0.17391304347826086</v>
          </cell>
          <cell r="F3">
            <v>0.18181818181818182</v>
          </cell>
          <cell r="H3">
            <v>0.19047619047619047</v>
          </cell>
          <cell r="J3">
            <v>0.2</v>
          </cell>
          <cell r="L3">
            <v>0.21052631578947367</v>
          </cell>
          <cell r="N3">
            <v>0.22222222222222221</v>
          </cell>
          <cell r="P3">
            <v>0.23529411764705882</v>
          </cell>
          <cell r="R3">
            <v>0.25</v>
          </cell>
          <cell r="T3">
            <v>0.26666666666666666</v>
          </cell>
          <cell r="V3">
            <v>0.2857142857142857</v>
          </cell>
          <cell r="X3">
            <v>0.30769230769230771</v>
          </cell>
          <cell r="Z3">
            <v>0.33333333333333331</v>
          </cell>
          <cell r="AB3">
            <v>0.36363636363636365</v>
          </cell>
          <cell r="AD3">
            <v>0.4</v>
          </cell>
          <cell r="AF3">
            <v>0.44444444444444442</v>
          </cell>
          <cell r="AH3">
            <v>0.5</v>
          </cell>
          <cell r="AJ3">
            <v>0.55555555555555558</v>
          </cell>
          <cell r="AL3">
            <v>0.6</v>
          </cell>
          <cell r="AN3">
            <v>0.63636363636363635</v>
          </cell>
          <cell r="AP3">
            <v>0.66666666666666663</v>
          </cell>
          <cell r="AR3">
            <v>0.69230769230769229</v>
          </cell>
          <cell r="AT3">
            <v>0.7142857142857143</v>
          </cell>
          <cell r="AV3">
            <v>0.73333333333333328</v>
          </cell>
          <cell r="AX3">
            <v>0.75</v>
          </cell>
          <cell r="AZ3">
            <v>0.76470588235294112</v>
          </cell>
          <cell r="BB3">
            <v>0.77777777777777779</v>
          </cell>
          <cell r="BD3">
            <v>0.78947368421052633</v>
          </cell>
          <cell r="BF3">
            <v>0.8</v>
          </cell>
          <cell r="BH3">
            <v>0.80952380952380953</v>
          </cell>
          <cell r="BJ3">
            <v>0.81818181818181823</v>
          </cell>
          <cell r="BL3">
            <v>0.82608695652173914</v>
          </cell>
          <cell r="BN3">
            <v>0.83333333333333337</v>
          </cell>
        </row>
        <row r="4">
          <cell r="A4" t="str">
            <v>Deliberate Attack vs Deliberate Attack</v>
          </cell>
          <cell r="B4" t="str">
            <v>N/A</v>
          </cell>
          <cell r="C4" t="str">
            <v>N/A</v>
          </cell>
          <cell r="D4" t="str">
            <v>N/A</v>
          </cell>
          <cell r="E4" t="str">
            <v>N/A</v>
          </cell>
          <cell r="F4" t="str">
            <v>N/A</v>
          </cell>
          <cell r="G4" t="str">
            <v>N/A</v>
          </cell>
          <cell r="H4" t="str">
            <v>N/A</v>
          </cell>
          <cell r="I4" t="str">
            <v>N/A</v>
          </cell>
          <cell r="J4" t="str">
            <v>N/A</v>
          </cell>
          <cell r="K4" t="str">
            <v>N/A</v>
          </cell>
          <cell r="L4" t="str">
            <v>N/A</v>
          </cell>
          <cell r="M4" t="str">
            <v>N/A</v>
          </cell>
          <cell r="N4" t="str">
            <v>N/A</v>
          </cell>
          <cell r="O4" t="str">
            <v>N/A</v>
          </cell>
          <cell r="P4" t="str">
            <v>N/A</v>
          </cell>
          <cell r="Q4" t="str">
            <v>N/A</v>
          </cell>
          <cell r="R4" t="str">
            <v>N/A</v>
          </cell>
          <cell r="S4" t="str">
            <v>N/A</v>
          </cell>
          <cell r="T4" t="str">
            <v>N/A</v>
          </cell>
          <cell r="U4" t="str">
            <v>N/A</v>
          </cell>
          <cell r="V4" t="str">
            <v>N/A</v>
          </cell>
          <cell r="W4" t="str">
            <v>N/A</v>
          </cell>
          <cell r="X4" t="str">
            <v>N/A</v>
          </cell>
          <cell r="Y4" t="str">
            <v>N/A</v>
          </cell>
          <cell r="Z4" t="str">
            <v>N/A</v>
          </cell>
          <cell r="AA4" t="str">
            <v>N/A</v>
          </cell>
          <cell r="AB4" t="str">
            <v>N/A</v>
          </cell>
          <cell r="AC4" t="str">
            <v>N/A</v>
          </cell>
          <cell r="AD4" t="str">
            <v>N/A</v>
          </cell>
          <cell r="AE4" t="str">
            <v>N/A</v>
          </cell>
          <cell r="AF4" t="str">
            <v>N/A</v>
          </cell>
          <cell r="AG4" t="str">
            <v>N/A</v>
          </cell>
          <cell r="AH4" t="str">
            <v>N/A</v>
          </cell>
          <cell r="AI4" t="str">
            <v>N/A</v>
          </cell>
          <cell r="AJ4" t="str">
            <v>N/A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N/A</v>
          </cell>
          <cell r="AP4" t="str">
            <v>N/A</v>
          </cell>
          <cell r="AQ4" t="str">
            <v>N/A</v>
          </cell>
          <cell r="AR4" t="str">
            <v>N/A</v>
          </cell>
          <cell r="AS4" t="str">
            <v>N/A</v>
          </cell>
          <cell r="AT4" t="str">
            <v>N/A</v>
          </cell>
          <cell r="AU4" t="str">
            <v>N/A</v>
          </cell>
          <cell r="AV4" t="str">
            <v>N/A</v>
          </cell>
          <cell r="AW4" t="str">
            <v>N/A</v>
          </cell>
          <cell r="AX4" t="str">
            <v>N/A</v>
          </cell>
          <cell r="AY4" t="str">
            <v>N/A</v>
          </cell>
          <cell r="AZ4" t="str">
            <v>N/A</v>
          </cell>
          <cell r="BA4" t="str">
            <v>N/A</v>
          </cell>
          <cell r="BB4" t="str">
            <v>N/A</v>
          </cell>
          <cell r="BC4" t="str">
            <v>N/A</v>
          </cell>
          <cell r="BD4" t="str">
            <v>N/A</v>
          </cell>
          <cell r="BE4" t="str">
            <v>N/A</v>
          </cell>
          <cell r="BF4" t="str">
            <v>N/A</v>
          </cell>
          <cell r="BG4" t="str">
            <v>N/A</v>
          </cell>
          <cell r="BH4" t="str">
            <v>N/A</v>
          </cell>
          <cell r="BI4" t="str">
            <v>N/A</v>
          </cell>
          <cell r="BJ4" t="str">
            <v>N/A</v>
          </cell>
          <cell r="BK4" t="str">
            <v>N/A</v>
          </cell>
          <cell r="BL4" t="str">
            <v>N/A</v>
          </cell>
          <cell r="BM4" t="str">
            <v>N/A</v>
          </cell>
          <cell r="BN4" t="str">
            <v>N/A</v>
          </cell>
          <cell r="BO4" t="str">
            <v>N/A</v>
          </cell>
        </row>
        <row r="5">
          <cell r="A5" t="str">
            <v>Deliberate Attack vs Deliberate Defense</v>
          </cell>
          <cell r="B5">
            <v>0.99</v>
          </cell>
          <cell r="C5">
            <v>0.01</v>
          </cell>
          <cell r="D5">
            <v>0.93</v>
          </cell>
          <cell r="E5">
            <v>0.02</v>
          </cell>
          <cell r="F5">
            <v>0.93</v>
          </cell>
          <cell r="G5">
            <v>0.02</v>
          </cell>
          <cell r="H5">
            <v>0.89</v>
          </cell>
          <cell r="I5">
            <v>0.03</v>
          </cell>
          <cell r="J5">
            <v>0.86</v>
          </cell>
          <cell r="K5">
            <v>0.04</v>
          </cell>
          <cell r="L5">
            <v>0.83</v>
          </cell>
          <cell r="M5">
            <v>0.05</v>
          </cell>
          <cell r="N5">
            <v>0.8</v>
          </cell>
          <cell r="O5">
            <v>0.06</v>
          </cell>
          <cell r="P5">
            <v>0.76</v>
          </cell>
          <cell r="Q5">
            <v>0.06</v>
          </cell>
          <cell r="R5">
            <v>0.73</v>
          </cell>
          <cell r="S5">
            <v>7.0000000000000007E-2</v>
          </cell>
          <cell r="T5">
            <v>0.69</v>
          </cell>
          <cell r="U5">
            <v>0.09</v>
          </cell>
          <cell r="V5">
            <v>0.65</v>
          </cell>
          <cell r="W5">
            <v>0.1</v>
          </cell>
          <cell r="X5">
            <v>0.61</v>
          </cell>
          <cell r="Y5">
            <v>0.11</v>
          </cell>
          <cell r="Z5">
            <v>0.56999999999999995</v>
          </cell>
          <cell r="AA5">
            <v>0.12</v>
          </cell>
          <cell r="AB5">
            <v>0.53</v>
          </cell>
          <cell r="AC5">
            <v>0.14000000000000001</v>
          </cell>
          <cell r="AD5">
            <v>0.48</v>
          </cell>
          <cell r="AE5">
            <v>0.16</v>
          </cell>
          <cell r="AF5">
            <v>0.43</v>
          </cell>
          <cell r="AG5">
            <v>0.18</v>
          </cell>
          <cell r="AH5">
            <v>0.38</v>
          </cell>
          <cell r="AI5">
            <v>0.21</v>
          </cell>
          <cell r="AJ5">
            <v>0.33</v>
          </cell>
          <cell r="AK5">
            <v>0.24</v>
          </cell>
          <cell r="AL5">
            <v>0.3</v>
          </cell>
          <cell r="AM5">
            <v>0.26</v>
          </cell>
          <cell r="AN5">
            <v>0.27</v>
          </cell>
          <cell r="AO5">
            <v>0.28000000000000003</v>
          </cell>
          <cell r="AP5">
            <v>0.25</v>
          </cell>
          <cell r="AQ5">
            <v>0.3</v>
          </cell>
          <cell r="AR5">
            <v>0.23</v>
          </cell>
          <cell r="AS5">
            <v>0.31</v>
          </cell>
          <cell r="AT5">
            <v>0.22</v>
          </cell>
          <cell r="AU5">
            <v>0.33</v>
          </cell>
          <cell r="AV5">
            <v>0.21</v>
          </cell>
          <cell r="AW5">
            <v>0.34</v>
          </cell>
          <cell r="AX5">
            <v>0.2</v>
          </cell>
          <cell r="AY5">
            <v>0.35</v>
          </cell>
          <cell r="AZ5">
            <v>0.19</v>
          </cell>
          <cell r="BA5">
            <v>0.36</v>
          </cell>
          <cell r="BB5">
            <v>0.18</v>
          </cell>
          <cell r="BC5">
            <v>0.37</v>
          </cell>
          <cell r="BD5">
            <v>0.17</v>
          </cell>
          <cell r="BE5">
            <v>0.38</v>
          </cell>
          <cell r="BF5">
            <v>0.16</v>
          </cell>
          <cell r="BG5">
            <v>0.38</v>
          </cell>
          <cell r="BH5">
            <v>0.16</v>
          </cell>
          <cell r="BI5">
            <v>0.39</v>
          </cell>
          <cell r="BJ5">
            <v>0.15</v>
          </cell>
          <cell r="BK5">
            <v>0.4</v>
          </cell>
          <cell r="BL5">
            <v>0.15</v>
          </cell>
          <cell r="BM5">
            <v>0.4</v>
          </cell>
          <cell r="BN5">
            <v>0.14000000000000001</v>
          </cell>
          <cell r="BO5">
            <v>0.41</v>
          </cell>
        </row>
        <row r="6">
          <cell r="A6" t="str">
            <v>Deliberate Attack vs Hasty Attack</v>
          </cell>
          <cell r="B6" t="str">
            <v>N/A</v>
          </cell>
          <cell r="C6" t="str">
            <v>N/A</v>
          </cell>
          <cell r="D6" t="str">
            <v>N/A</v>
          </cell>
          <cell r="E6" t="str">
            <v>N/A</v>
          </cell>
          <cell r="F6" t="str">
            <v>N/A</v>
          </cell>
          <cell r="G6" t="str">
            <v>N/A</v>
          </cell>
          <cell r="H6" t="str">
            <v>N/A</v>
          </cell>
          <cell r="I6" t="str">
            <v>N/A</v>
          </cell>
          <cell r="J6" t="str">
            <v>N/A</v>
          </cell>
          <cell r="K6" t="str">
            <v>N/A</v>
          </cell>
          <cell r="L6" t="str">
            <v>N/A</v>
          </cell>
          <cell r="M6" t="str">
            <v>N/A</v>
          </cell>
          <cell r="N6" t="str">
            <v>N/A</v>
          </cell>
          <cell r="O6" t="str">
            <v>N/A</v>
          </cell>
          <cell r="P6" t="str">
            <v>N/A</v>
          </cell>
          <cell r="Q6" t="str">
            <v>N/A</v>
          </cell>
          <cell r="R6" t="str">
            <v>N/A</v>
          </cell>
          <cell r="S6" t="str">
            <v>N/A</v>
          </cell>
          <cell r="T6" t="str">
            <v>N/A</v>
          </cell>
          <cell r="U6" t="str">
            <v>N/A</v>
          </cell>
          <cell r="V6" t="str">
            <v>N/A</v>
          </cell>
          <cell r="W6" t="str">
            <v>N/A</v>
          </cell>
          <cell r="X6" t="str">
            <v>N/A</v>
          </cell>
          <cell r="Y6" t="str">
            <v>N/A</v>
          </cell>
          <cell r="Z6" t="str">
            <v>N/A</v>
          </cell>
          <cell r="AA6" t="str">
            <v>N/A</v>
          </cell>
          <cell r="AB6" t="str">
            <v>N/A</v>
          </cell>
          <cell r="AC6" t="str">
            <v>N/A</v>
          </cell>
          <cell r="AD6" t="str">
            <v>N/A</v>
          </cell>
          <cell r="AE6" t="str">
            <v>N/A</v>
          </cell>
          <cell r="AF6" t="str">
            <v>N/A</v>
          </cell>
          <cell r="AG6" t="str">
            <v>N/A</v>
          </cell>
          <cell r="AH6" t="str">
            <v>N/A</v>
          </cell>
          <cell r="AI6" t="str">
            <v>N/A</v>
          </cell>
          <cell r="AJ6" t="str">
            <v>N/A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N/A</v>
          </cell>
          <cell r="AP6" t="str">
            <v>N/A</v>
          </cell>
          <cell r="AQ6" t="str">
            <v>N/A</v>
          </cell>
          <cell r="AR6" t="str">
            <v>N/A</v>
          </cell>
          <cell r="AS6" t="str">
            <v>N/A</v>
          </cell>
          <cell r="AT6" t="str">
            <v>N/A</v>
          </cell>
          <cell r="AU6" t="str">
            <v>N/A</v>
          </cell>
          <cell r="AV6" t="str">
            <v>N/A</v>
          </cell>
          <cell r="AW6" t="str">
            <v>N/A</v>
          </cell>
          <cell r="AX6" t="str">
            <v>N/A</v>
          </cell>
          <cell r="AY6" t="str">
            <v>N/A</v>
          </cell>
          <cell r="AZ6" t="str">
            <v>N/A</v>
          </cell>
          <cell r="BA6" t="str">
            <v>N/A</v>
          </cell>
          <cell r="BB6" t="str">
            <v>N/A</v>
          </cell>
          <cell r="BC6" t="str">
            <v>N/A</v>
          </cell>
          <cell r="BD6" t="str">
            <v>N/A</v>
          </cell>
          <cell r="BE6" t="str">
            <v>N/A</v>
          </cell>
          <cell r="BF6" t="str">
            <v>N/A</v>
          </cell>
          <cell r="BG6" t="str">
            <v>N/A</v>
          </cell>
          <cell r="BH6" t="str">
            <v>N/A</v>
          </cell>
          <cell r="BI6" t="str">
            <v>N/A</v>
          </cell>
          <cell r="BJ6" t="str">
            <v>N/A</v>
          </cell>
          <cell r="BK6" t="str">
            <v>N/A</v>
          </cell>
          <cell r="BL6" t="str">
            <v>N/A</v>
          </cell>
          <cell r="BM6" t="str">
            <v>N/A</v>
          </cell>
          <cell r="BN6" t="str">
            <v>N/A</v>
          </cell>
          <cell r="BO6" t="str">
            <v>N/A</v>
          </cell>
        </row>
        <row r="7">
          <cell r="A7" t="str">
            <v>Deliberate Attack vs Hasty Defense</v>
          </cell>
          <cell r="B7">
            <v>0.59</v>
          </cell>
          <cell r="C7">
            <v>0.11</v>
          </cell>
          <cell r="D7">
            <v>0.56000000000000005</v>
          </cell>
          <cell r="E7">
            <v>0.12</v>
          </cell>
          <cell r="F7">
            <v>0.56000000000000005</v>
          </cell>
          <cell r="G7">
            <v>0.12</v>
          </cell>
          <cell r="H7">
            <v>0.54</v>
          </cell>
          <cell r="I7">
            <v>0.13</v>
          </cell>
          <cell r="J7">
            <v>0.52</v>
          </cell>
          <cell r="K7">
            <v>0.14000000000000001</v>
          </cell>
          <cell r="L7">
            <v>0.5</v>
          </cell>
          <cell r="M7">
            <v>0.15</v>
          </cell>
          <cell r="N7">
            <v>0.48</v>
          </cell>
          <cell r="O7">
            <v>0.16</v>
          </cell>
          <cell r="P7">
            <v>0.46</v>
          </cell>
          <cell r="Q7">
            <v>0.16</v>
          </cell>
          <cell r="R7">
            <v>0.44</v>
          </cell>
          <cell r="S7">
            <v>0.17</v>
          </cell>
          <cell r="T7">
            <v>0.41</v>
          </cell>
          <cell r="U7">
            <v>0.19</v>
          </cell>
          <cell r="V7">
            <v>0.39</v>
          </cell>
          <cell r="W7">
            <v>0.2</v>
          </cell>
          <cell r="X7">
            <v>0.37</v>
          </cell>
          <cell r="Y7">
            <v>0.21</v>
          </cell>
          <cell r="Z7">
            <v>0.34</v>
          </cell>
          <cell r="AA7">
            <v>0.22</v>
          </cell>
          <cell r="AB7">
            <v>0.32</v>
          </cell>
          <cell r="AC7">
            <v>0.24</v>
          </cell>
          <cell r="AD7">
            <v>0.28999999999999998</v>
          </cell>
          <cell r="AE7">
            <v>0.26</v>
          </cell>
          <cell r="AF7">
            <v>0.26</v>
          </cell>
          <cell r="AG7">
            <v>0.28000000000000003</v>
          </cell>
          <cell r="AH7">
            <v>0.23</v>
          </cell>
          <cell r="AI7">
            <v>0.31</v>
          </cell>
          <cell r="AJ7">
            <v>0.2</v>
          </cell>
          <cell r="AK7">
            <v>0.34</v>
          </cell>
          <cell r="AL7">
            <v>0.18</v>
          </cell>
          <cell r="AM7">
            <v>0.36</v>
          </cell>
          <cell r="AN7">
            <v>0.16</v>
          </cell>
          <cell r="AO7">
            <v>0.38</v>
          </cell>
          <cell r="AP7">
            <v>0.15</v>
          </cell>
          <cell r="AQ7">
            <v>0.4</v>
          </cell>
          <cell r="AR7">
            <v>0.14000000000000001</v>
          </cell>
          <cell r="AS7">
            <v>0.41</v>
          </cell>
          <cell r="AT7">
            <v>0.13</v>
          </cell>
          <cell r="AU7">
            <v>0.43</v>
          </cell>
          <cell r="AV7">
            <v>0.12</v>
          </cell>
          <cell r="AW7">
            <v>0.44</v>
          </cell>
          <cell r="AX7">
            <v>0.12</v>
          </cell>
          <cell r="AY7">
            <v>0.45</v>
          </cell>
          <cell r="AZ7">
            <v>0.11</v>
          </cell>
          <cell r="BA7">
            <v>0.46</v>
          </cell>
          <cell r="BB7">
            <v>0.11</v>
          </cell>
          <cell r="BC7">
            <v>0.47</v>
          </cell>
          <cell r="BD7">
            <v>0.1</v>
          </cell>
          <cell r="BE7">
            <v>0.48</v>
          </cell>
          <cell r="BF7">
            <v>0.1</v>
          </cell>
          <cell r="BG7">
            <v>0.48</v>
          </cell>
          <cell r="BH7">
            <v>0.1</v>
          </cell>
          <cell r="BI7">
            <v>0.49</v>
          </cell>
          <cell r="BJ7">
            <v>0.09</v>
          </cell>
          <cell r="BK7">
            <v>0.5</v>
          </cell>
          <cell r="BL7">
            <v>0.09</v>
          </cell>
          <cell r="BM7">
            <v>0.5</v>
          </cell>
          <cell r="BN7">
            <v>0.09</v>
          </cell>
          <cell r="BO7">
            <v>0.51</v>
          </cell>
        </row>
        <row r="8">
          <cell r="A8" t="str">
            <v>Deliberate Defense vs Deliberate Attack</v>
          </cell>
          <cell r="B8">
            <v>0.41</v>
          </cell>
          <cell r="C8">
            <v>0.14000000000000001</v>
          </cell>
          <cell r="D8">
            <v>0.4</v>
          </cell>
          <cell r="E8">
            <v>0.15</v>
          </cell>
          <cell r="F8">
            <v>0.4</v>
          </cell>
          <cell r="G8">
            <v>0.15</v>
          </cell>
          <cell r="H8">
            <v>0.39</v>
          </cell>
          <cell r="I8">
            <v>0.16</v>
          </cell>
          <cell r="J8">
            <v>0.38</v>
          </cell>
          <cell r="K8">
            <v>0.16</v>
          </cell>
          <cell r="L8">
            <v>0.38</v>
          </cell>
          <cell r="M8">
            <v>0.17</v>
          </cell>
          <cell r="N8">
            <v>0.37</v>
          </cell>
          <cell r="O8">
            <v>0.18</v>
          </cell>
          <cell r="P8">
            <v>0.36</v>
          </cell>
          <cell r="Q8">
            <v>0.19</v>
          </cell>
          <cell r="R8">
            <v>0.35</v>
          </cell>
          <cell r="S8">
            <v>0.2</v>
          </cell>
          <cell r="T8">
            <v>0.34</v>
          </cell>
          <cell r="U8">
            <v>0.21</v>
          </cell>
          <cell r="V8">
            <v>0.33</v>
          </cell>
          <cell r="W8">
            <v>0.22</v>
          </cell>
          <cell r="X8">
            <v>0.31</v>
          </cell>
          <cell r="Y8">
            <v>0.23</v>
          </cell>
          <cell r="Z8">
            <v>0.3</v>
          </cell>
          <cell r="AA8">
            <v>0.25</v>
          </cell>
          <cell r="AB8">
            <v>0.28000000000000003</v>
          </cell>
          <cell r="AC8">
            <v>0.27</v>
          </cell>
          <cell r="AD8">
            <v>0.26</v>
          </cell>
          <cell r="AE8">
            <v>0.3</v>
          </cell>
          <cell r="AF8">
            <v>0.24</v>
          </cell>
          <cell r="AG8">
            <v>0.33</v>
          </cell>
          <cell r="AH8">
            <v>0.21</v>
          </cell>
          <cell r="AI8">
            <v>0.38</v>
          </cell>
          <cell r="AJ8">
            <v>0.18</v>
          </cell>
          <cell r="AK8">
            <v>0.43</v>
          </cell>
          <cell r="AL8">
            <v>0.16</v>
          </cell>
          <cell r="AM8">
            <v>0.48</v>
          </cell>
          <cell r="AN8">
            <v>0.14000000000000001</v>
          </cell>
          <cell r="AO8">
            <v>0.53</v>
          </cell>
          <cell r="AP8">
            <v>0.12</v>
          </cell>
          <cell r="AQ8">
            <v>0.56999999999999995</v>
          </cell>
          <cell r="AR8">
            <v>0.11</v>
          </cell>
          <cell r="AS8">
            <v>0.61</v>
          </cell>
          <cell r="AT8">
            <v>0.1</v>
          </cell>
          <cell r="AU8">
            <v>0.65</v>
          </cell>
          <cell r="AV8">
            <v>0.09</v>
          </cell>
          <cell r="AW8">
            <v>0.69</v>
          </cell>
          <cell r="AX8">
            <v>7.0000000000000007E-2</v>
          </cell>
          <cell r="AY8">
            <v>0.73</v>
          </cell>
          <cell r="AZ8">
            <v>0.06</v>
          </cell>
          <cell r="BA8">
            <v>0.76</v>
          </cell>
          <cell r="BB8">
            <v>0.06</v>
          </cell>
          <cell r="BC8">
            <v>0.8</v>
          </cell>
          <cell r="BD8">
            <v>0.05</v>
          </cell>
          <cell r="BE8">
            <v>0.83</v>
          </cell>
          <cell r="BF8">
            <v>0.04</v>
          </cell>
          <cell r="BG8">
            <v>0.86</v>
          </cell>
          <cell r="BH8">
            <v>0.03</v>
          </cell>
          <cell r="BI8">
            <v>0.89</v>
          </cell>
          <cell r="BJ8">
            <v>0.02</v>
          </cell>
          <cell r="BK8">
            <v>0.93</v>
          </cell>
          <cell r="BL8">
            <v>0.02</v>
          </cell>
          <cell r="BM8">
            <v>0.93</v>
          </cell>
          <cell r="BN8">
            <v>0.01</v>
          </cell>
          <cell r="BO8">
            <v>0.99</v>
          </cell>
        </row>
        <row r="9">
          <cell r="A9" t="str">
            <v>Deliberate Defense vs Deliberate Defense</v>
          </cell>
          <cell r="B9" t="str">
            <v>N/A</v>
          </cell>
          <cell r="C9" t="str">
            <v>N/A</v>
          </cell>
          <cell r="D9" t="str">
            <v>N/A</v>
          </cell>
          <cell r="E9" t="str">
            <v>N/A</v>
          </cell>
          <cell r="F9" t="str">
            <v>N/A</v>
          </cell>
          <cell r="G9" t="str">
            <v>N/A</v>
          </cell>
          <cell r="H9" t="str">
            <v>N/A</v>
          </cell>
          <cell r="I9" t="str">
            <v>N/A</v>
          </cell>
          <cell r="J9" t="str">
            <v>N/A</v>
          </cell>
          <cell r="K9" t="str">
            <v>N/A</v>
          </cell>
          <cell r="L9" t="str">
            <v>N/A</v>
          </cell>
          <cell r="M9" t="str">
            <v>N/A</v>
          </cell>
          <cell r="N9" t="str">
            <v>N/A</v>
          </cell>
          <cell r="O9" t="str">
            <v>N/A</v>
          </cell>
          <cell r="P9" t="str">
            <v>N/A</v>
          </cell>
          <cell r="Q9" t="str">
            <v>N/A</v>
          </cell>
          <cell r="R9" t="str">
            <v>N/A</v>
          </cell>
          <cell r="S9" t="str">
            <v>N/A</v>
          </cell>
          <cell r="T9" t="str">
            <v>N/A</v>
          </cell>
          <cell r="U9" t="str">
            <v>N/A</v>
          </cell>
          <cell r="V9" t="str">
            <v>N/A</v>
          </cell>
          <cell r="W9" t="str">
            <v>N/A</v>
          </cell>
          <cell r="X9" t="str">
            <v>N/A</v>
          </cell>
          <cell r="Y9" t="str">
            <v>N/A</v>
          </cell>
          <cell r="Z9" t="str">
            <v>N/A</v>
          </cell>
          <cell r="AA9" t="str">
            <v>N/A</v>
          </cell>
          <cell r="AB9" t="str">
            <v>N/A</v>
          </cell>
          <cell r="AC9" t="str">
            <v>N/A</v>
          </cell>
          <cell r="AD9" t="str">
            <v>N/A</v>
          </cell>
          <cell r="AE9" t="str">
            <v>N/A</v>
          </cell>
          <cell r="AF9" t="str">
            <v>N/A</v>
          </cell>
          <cell r="AG9" t="str">
            <v>N/A</v>
          </cell>
          <cell r="AH9" t="str">
            <v>N/A</v>
          </cell>
          <cell r="AI9" t="str">
            <v>N/A</v>
          </cell>
          <cell r="AJ9" t="str">
            <v>N/A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Q9" t="str">
            <v>N/A</v>
          </cell>
          <cell r="AR9" t="str">
            <v>N/A</v>
          </cell>
          <cell r="AS9" t="str">
            <v>N/A</v>
          </cell>
          <cell r="AT9" t="str">
            <v>N/A</v>
          </cell>
          <cell r="AU9" t="str">
            <v>N/A</v>
          </cell>
          <cell r="AV9" t="str">
            <v>N/A</v>
          </cell>
          <cell r="AW9" t="str">
            <v>N/A</v>
          </cell>
          <cell r="AX9" t="str">
            <v>N/A</v>
          </cell>
          <cell r="AY9" t="str">
            <v>N/A</v>
          </cell>
          <cell r="AZ9" t="str">
            <v>N/A</v>
          </cell>
          <cell r="BA9" t="str">
            <v>N/A</v>
          </cell>
          <cell r="BB9" t="str">
            <v>N/A</v>
          </cell>
          <cell r="BC9" t="str">
            <v>N/A</v>
          </cell>
          <cell r="BD9" t="str">
            <v>N/A</v>
          </cell>
          <cell r="BE9" t="str">
            <v>N/A</v>
          </cell>
          <cell r="BF9" t="str">
            <v>N/A</v>
          </cell>
          <cell r="BG9" t="str">
            <v>N/A</v>
          </cell>
          <cell r="BH9" t="str">
            <v>N/A</v>
          </cell>
          <cell r="BI9" t="str">
            <v>N/A</v>
          </cell>
          <cell r="BJ9" t="str">
            <v>N/A</v>
          </cell>
          <cell r="BK9" t="str">
            <v>N/A</v>
          </cell>
          <cell r="BL9" t="str">
            <v>N/A</v>
          </cell>
          <cell r="BM9" t="str">
            <v>N/A</v>
          </cell>
          <cell r="BN9" t="str">
            <v>N/A</v>
          </cell>
          <cell r="BO9" t="str">
            <v>N/A</v>
          </cell>
        </row>
        <row r="10">
          <cell r="A10" t="str">
            <v>Deliberate Defense vs Hasty Attack</v>
          </cell>
          <cell r="B10">
            <v>0.3</v>
          </cell>
          <cell r="C10">
            <v>0.21</v>
          </cell>
          <cell r="D10">
            <v>0.28999999999999998</v>
          </cell>
          <cell r="E10">
            <v>0.22</v>
          </cell>
          <cell r="F10">
            <v>0.28000000000000003</v>
          </cell>
          <cell r="G10">
            <v>0.23</v>
          </cell>
          <cell r="H10">
            <v>0.28000000000000003</v>
          </cell>
          <cell r="I10">
            <v>0.24</v>
          </cell>
          <cell r="J10">
            <v>0.27</v>
          </cell>
          <cell r="K10">
            <v>0.25</v>
          </cell>
          <cell r="L10">
            <v>0.27</v>
          </cell>
          <cell r="M10">
            <v>0.26</v>
          </cell>
          <cell r="N10">
            <v>0.26</v>
          </cell>
          <cell r="O10">
            <v>0.28000000000000003</v>
          </cell>
          <cell r="P10">
            <v>0.25</v>
          </cell>
          <cell r="Q10">
            <v>0.28999999999999998</v>
          </cell>
          <cell r="R10">
            <v>0.24</v>
          </cell>
          <cell r="S10">
            <v>0.3</v>
          </cell>
          <cell r="T10">
            <v>0.24</v>
          </cell>
          <cell r="U10">
            <v>0.32</v>
          </cell>
          <cell r="V10">
            <v>0.23</v>
          </cell>
          <cell r="W10">
            <v>0.34</v>
          </cell>
          <cell r="X10">
            <v>0.21</v>
          </cell>
          <cell r="Y10">
            <v>0.36</v>
          </cell>
          <cell r="Z10">
            <v>0.2</v>
          </cell>
          <cell r="AA10">
            <v>0.38</v>
          </cell>
          <cell r="AB10">
            <v>0.19</v>
          </cell>
          <cell r="AC10">
            <v>0.4</v>
          </cell>
          <cell r="AD10">
            <v>0.17</v>
          </cell>
          <cell r="AE10">
            <v>0.43</v>
          </cell>
          <cell r="AF10">
            <v>0.16</v>
          </cell>
          <cell r="AG10">
            <v>0.46</v>
          </cell>
          <cell r="AH10">
            <v>0.13</v>
          </cell>
          <cell r="AI10">
            <v>0.51</v>
          </cell>
          <cell r="AJ10">
            <v>0.11</v>
          </cell>
          <cell r="AK10">
            <v>0.55000000000000004</v>
          </cell>
          <cell r="AL10">
            <v>0.09</v>
          </cell>
          <cell r="AM10">
            <v>0.57999999999999996</v>
          </cell>
          <cell r="AN10">
            <v>0.08</v>
          </cell>
          <cell r="AO10">
            <v>0.61</v>
          </cell>
          <cell r="AP10">
            <v>0.08</v>
          </cell>
          <cell r="AQ10">
            <v>0.63</v>
          </cell>
          <cell r="AR10">
            <v>0.05</v>
          </cell>
          <cell r="AS10">
            <v>0.65</v>
          </cell>
          <cell r="AT10">
            <v>0.04</v>
          </cell>
          <cell r="AU10">
            <v>0.67</v>
          </cell>
          <cell r="AV10">
            <v>0.03</v>
          </cell>
          <cell r="AW10">
            <v>0.69</v>
          </cell>
          <cell r="AX10">
            <v>0.02</v>
          </cell>
          <cell r="AY10">
            <v>0.71</v>
          </cell>
          <cell r="AZ10">
            <v>0.01</v>
          </cell>
          <cell r="BA10">
            <v>0.72</v>
          </cell>
          <cell r="BB10">
            <v>0.01</v>
          </cell>
          <cell r="BC10">
            <v>0.73</v>
          </cell>
          <cell r="BD10">
            <v>0</v>
          </cell>
          <cell r="BE10">
            <v>0.75</v>
          </cell>
          <cell r="BF10">
            <v>0</v>
          </cell>
          <cell r="BG10">
            <v>0.76</v>
          </cell>
          <cell r="BH10">
            <v>0</v>
          </cell>
          <cell r="BI10">
            <v>0.77</v>
          </cell>
          <cell r="BJ10">
            <v>0</v>
          </cell>
          <cell r="BK10">
            <v>0.78</v>
          </cell>
          <cell r="BL10">
            <v>0</v>
          </cell>
          <cell r="BM10">
            <v>0.78</v>
          </cell>
          <cell r="BN10">
            <v>0</v>
          </cell>
          <cell r="BO10">
            <v>0.8</v>
          </cell>
        </row>
        <row r="11">
          <cell r="A11" t="str">
            <v>Deliberate Defense vs Hasty Defense</v>
          </cell>
          <cell r="B11" t="str">
            <v>N/A</v>
          </cell>
          <cell r="C11" t="str">
            <v>N/A</v>
          </cell>
          <cell r="D11" t="str">
            <v>N/A</v>
          </cell>
          <cell r="E11" t="str">
            <v>N/A</v>
          </cell>
          <cell r="F11" t="str">
            <v>N/A</v>
          </cell>
          <cell r="G11" t="str">
            <v>N/A</v>
          </cell>
          <cell r="H11" t="str">
            <v>N/A</v>
          </cell>
          <cell r="I11" t="str">
            <v>N/A</v>
          </cell>
          <cell r="J11" t="str">
            <v>N/A</v>
          </cell>
          <cell r="K11" t="str">
            <v>N/A</v>
          </cell>
          <cell r="L11" t="str">
            <v>N/A</v>
          </cell>
          <cell r="M11" t="str">
            <v>N/A</v>
          </cell>
          <cell r="N11" t="str">
            <v>N/A</v>
          </cell>
          <cell r="O11" t="str">
            <v>N/A</v>
          </cell>
          <cell r="P11" t="str">
            <v>N/A</v>
          </cell>
          <cell r="Q11" t="str">
            <v>N/A</v>
          </cell>
          <cell r="R11" t="str">
            <v>N/A</v>
          </cell>
          <cell r="S11" t="str">
            <v>N/A</v>
          </cell>
          <cell r="T11" t="str">
            <v>N/A</v>
          </cell>
          <cell r="U11" t="str">
            <v>N/A</v>
          </cell>
          <cell r="V11" t="str">
            <v>N/A</v>
          </cell>
          <cell r="W11" t="str">
            <v>N/A</v>
          </cell>
          <cell r="X11" t="str">
            <v>N/A</v>
          </cell>
          <cell r="Y11" t="str">
            <v>N/A</v>
          </cell>
          <cell r="Z11" t="str">
            <v>N/A</v>
          </cell>
          <cell r="AA11" t="str">
            <v>N/A</v>
          </cell>
          <cell r="AB11" t="str">
            <v>N/A</v>
          </cell>
          <cell r="AC11" t="str">
            <v>N/A</v>
          </cell>
          <cell r="AD11" t="str">
            <v>N/A</v>
          </cell>
          <cell r="AE11" t="str">
            <v>N/A</v>
          </cell>
          <cell r="AF11" t="str">
            <v>N/A</v>
          </cell>
          <cell r="AG11" t="str">
            <v>N/A</v>
          </cell>
          <cell r="AH11" t="str">
            <v>N/A</v>
          </cell>
          <cell r="AI11" t="str">
            <v>N/A</v>
          </cell>
          <cell r="AJ11" t="str">
            <v>N/A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Q11" t="str">
            <v>N/A</v>
          </cell>
          <cell r="AR11" t="str">
            <v>N/A</v>
          </cell>
          <cell r="AS11" t="str">
            <v>N/A</v>
          </cell>
          <cell r="AT11" t="str">
            <v>N/A</v>
          </cell>
          <cell r="AU11" t="str">
            <v>N/A</v>
          </cell>
          <cell r="AV11" t="str">
            <v>N/A</v>
          </cell>
          <cell r="AW11" t="str">
            <v>N/A</v>
          </cell>
          <cell r="AX11" t="str">
            <v>N/A</v>
          </cell>
          <cell r="AY11" t="str">
            <v>N/A</v>
          </cell>
          <cell r="AZ11" t="str">
            <v>N/A</v>
          </cell>
          <cell r="BA11" t="str">
            <v>N/A</v>
          </cell>
          <cell r="BB11" t="str">
            <v>N/A</v>
          </cell>
          <cell r="BC11" t="str">
            <v>N/A</v>
          </cell>
          <cell r="BD11" t="str">
            <v>N/A</v>
          </cell>
          <cell r="BE11" t="str">
            <v>N/A</v>
          </cell>
          <cell r="BF11" t="str">
            <v>N/A</v>
          </cell>
          <cell r="BG11" t="str">
            <v>N/A</v>
          </cell>
          <cell r="BH11" t="str">
            <v>N/A</v>
          </cell>
          <cell r="BI11" t="str">
            <v>N/A</v>
          </cell>
          <cell r="BJ11" t="str">
            <v>N/A</v>
          </cell>
          <cell r="BK11" t="str">
            <v>N/A</v>
          </cell>
          <cell r="BL11" t="str">
            <v>N/A</v>
          </cell>
          <cell r="BM11" t="str">
            <v>N/A</v>
          </cell>
          <cell r="BN11" t="str">
            <v>N/A</v>
          </cell>
          <cell r="BO11" t="str">
            <v>N/A</v>
          </cell>
        </row>
        <row r="12">
          <cell r="A12" t="str">
            <v>Hasty Attack vs Deliberate Attack</v>
          </cell>
          <cell r="B12" t="str">
            <v>N/A</v>
          </cell>
          <cell r="C12" t="str">
            <v>N/A</v>
          </cell>
          <cell r="D12" t="str">
            <v>N/A</v>
          </cell>
          <cell r="E12" t="str">
            <v>N/A</v>
          </cell>
          <cell r="F12" t="str">
            <v>N/A</v>
          </cell>
          <cell r="G12" t="str">
            <v>N/A</v>
          </cell>
          <cell r="H12" t="str">
            <v>N/A</v>
          </cell>
          <cell r="I12" t="str">
            <v>N/A</v>
          </cell>
          <cell r="J12" t="str">
            <v>N/A</v>
          </cell>
          <cell r="K12" t="str">
            <v>N/A</v>
          </cell>
          <cell r="L12" t="str">
            <v>N/A</v>
          </cell>
          <cell r="M12" t="str">
            <v>N/A</v>
          </cell>
          <cell r="N12" t="str">
            <v>N/A</v>
          </cell>
          <cell r="O12" t="str">
            <v>N/A</v>
          </cell>
          <cell r="P12" t="str">
            <v>N/A</v>
          </cell>
          <cell r="Q12" t="str">
            <v>N/A</v>
          </cell>
          <cell r="R12" t="str">
            <v>N/A</v>
          </cell>
          <cell r="S12" t="str">
            <v>N/A</v>
          </cell>
          <cell r="T12" t="str">
            <v>N/A</v>
          </cell>
          <cell r="U12" t="str">
            <v>N/A</v>
          </cell>
          <cell r="V12" t="str">
            <v>N/A</v>
          </cell>
          <cell r="W12" t="str">
            <v>N/A</v>
          </cell>
          <cell r="X12" t="str">
            <v>N/A</v>
          </cell>
          <cell r="Y12" t="str">
            <v>N/A</v>
          </cell>
          <cell r="Z12" t="str">
            <v>N/A</v>
          </cell>
          <cell r="AA12" t="str">
            <v>N/A</v>
          </cell>
          <cell r="AB12" t="str">
            <v>N/A</v>
          </cell>
          <cell r="AC12" t="str">
            <v>N/A</v>
          </cell>
          <cell r="AD12" t="str">
            <v>N/A</v>
          </cell>
          <cell r="AE12" t="str">
            <v>N/A</v>
          </cell>
          <cell r="AF12" t="str">
            <v>N/A</v>
          </cell>
          <cell r="AG12" t="str">
            <v>N/A</v>
          </cell>
          <cell r="AH12" t="str">
            <v>N/A</v>
          </cell>
          <cell r="AI12" t="str">
            <v>N/A</v>
          </cell>
          <cell r="AJ12" t="str">
            <v>N/A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>N/A</v>
          </cell>
          <cell r="AP12" t="str">
            <v>N/A</v>
          </cell>
          <cell r="AQ12" t="str">
            <v>N/A</v>
          </cell>
          <cell r="AR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N/A</v>
          </cell>
          <cell r="AW12" t="str">
            <v>N/A</v>
          </cell>
          <cell r="AX12" t="str">
            <v>N/A</v>
          </cell>
          <cell r="AY12" t="str">
            <v>N/A</v>
          </cell>
          <cell r="AZ12" t="str">
            <v>N/A</v>
          </cell>
          <cell r="BA12" t="str">
            <v>N/A</v>
          </cell>
          <cell r="BB12" t="str">
            <v>N/A</v>
          </cell>
          <cell r="BC12" t="str">
            <v>N/A</v>
          </cell>
          <cell r="BD12" t="str">
            <v>N/A</v>
          </cell>
          <cell r="BE12" t="str">
            <v>N/A</v>
          </cell>
          <cell r="BF12" t="str">
            <v>N/A</v>
          </cell>
          <cell r="BG12" t="str">
            <v>N/A</v>
          </cell>
          <cell r="BH12" t="str">
            <v>N/A</v>
          </cell>
          <cell r="BI12" t="str">
            <v>N/A</v>
          </cell>
          <cell r="BJ12" t="str">
            <v>N/A</v>
          </cell>
          <cell r="BK12" t="str">
            <v>N/A</v>
          </cell>
          <cell r="BL12" t="str">
            <v>N/A</v>
          </cell>
          <cell r="BM12" t="str">
            <v>N/A</v>
          </cell>
          <cell r="BN12" t="str">
            <v>N/A</v>
          </cell>
          <cell r="BO12" t="str">
            <v>N/A</v>
          </cell>
        </row>
        <row r="13">
          <cell r="A13" t="str">
            <v>Hasty Attack vs Deliberate Defense</v>
          </cell>
          <cell r="B13">
            <v>0.8</v>
          </cell>
          <cell r="C13">
            <v>0</v>
          </cell>
          <cell r="D13">
            <v>0.78</v>
          </cell>
          <cell r="E13">
            <v>0</v>
          </cell>
          <cell r="F13">
            <v>0.78</v>
          </cell>
          <cell r="G13">
            <v>0</v>
          </cell>
          <cell r="H13">
            <v>0.77</v>
          </cell>
          <cell r="I13">
            <v>0</v>
          </cell>
          <cell r="J13">
            <v>0.76</v>
          </cell>
          <cell r="K13">
            <v>0</v>
          </cell>
          <cell r="L13">
            <v>0.75</v>
          </cell>
          <cell r="M13">
            <v>0</v>
          </cell>
          <cell r="N13">
            <v>0.73</v>
          </cell>
          <cell r="O13">
            <v>0.01</v>
          </cell>
          <cell r="P13">
            <v>0.72</v>
          </cell>
          <cell r="Q13">
            <v>0.01</v>
          </cell>
          <cell r="R13">
            <v>0.71</v>
          </cell>
          <cell r="S13">
            <v>0.02</v>
          </cell>
          <cell r="T13">
            <v>0.69</v>
          </cell>
          <cell r="U13">
            <v>0.03</v>
          </cell>
          <cell r="V13">
            <v>0.67</v>
          </cell>
          <cell r="W13">
            <v>0.04</v>
          </cell>
          <cell r="X13">
            <v>0.65</v>
          </cell>
          <cell r="Y13">
            <v>0.05</v>
          </cell>
          <cell r="Z13">
            <v>0.63</v>
          </cell>
          <cell r="AA13">
            <v>0.06</v>
          </cell>
          <cell r="AB13">
            <v>0.61</v>
          </cell>
          <cell r="AC13">
            <v>0.08</v>
          </cell>
          <cell r="AD13">
            <v>0.57999999999999996</v>
          </cell>
          <cell r="AE13">
            <v>0.09</v>
          </cell>
          <cell r="AF13">
            <v>0.55000000000000004</v>
          </cell>
          <cell r="AG13">
            <v>0.11</v>
          </cell>
          <cell r="AH13">
            <v>0.51</v>
          </cell>
          <cell r="AI13">
            <v>0.13</v>
          </cell>
          <cell r="AJ13">
            <v>0.46</v>
          </cell>
          <cell r="AK13">
            <v>0.16</v>
          </cell>
          <cell r="AL13">
            <v>0.43</v>
          </cell>
          <cell r="AM13">
            <v>0.17</v>
          </cell>
          <cell r="AN13">
            <v>0.4</v>
          </cell>
          <cell r="AO13">
            <v>0.19</v>
          </cell>
          <cell r="AP13">
            <v>0.38</v>
          </cell>
          <cell r="AQ13">
            <v>0.2</v>
          </cell>
          <cell r="AR13">
            <v>0.36</v>
          </cell>
          <cell r="AS13">
            <v>0.21</v>
          </cell>
          <cell r="AT13">
            <v>0.34</v>
          </cell>
          <cell r="AU13">
            <v>0.23</v>
          </cell>
          <cell r="AV13">
            <v>0.32</v>
          </cell>
          <cell r="AW13">
            <v>0.24</v>
          </cell>
          <cell r="AX13">
            <v>0.3</v>
          </cell>
          <cell r="AY13">
            <v>0.24</v>
          </cell>
          <cell r="AZ13">
            <v>0.28999999999999998</v>
          </cell>
          <cell r="BA13">
            <v>0.25</v>
          </cell>
          <cell r="BB13">
            <v>0.28000000000000003</v>
          </cell>
          <cell r="BC13">
            <v>0.26</v>
          </cell>
          <cell r="BD13">
            <v>0.26</v>
          </cell>
          <cell r="BE13">
            <v>0.27</v>
          </cell>
          <cell r="BF13">
            <v>0.25</v>
          </cell>
          <cell r="BG13">
            <v>0.27</v>
          </cell>
          <cell r="BH13">
            <v>0.24</v>
          </cell>
          <cell r="BI13">
            <v>0.28000000000000003</v>
          </cell>
          <cell r="BJ13">
            <v>0.23</v>
          </cell>
          <cell r="BK13">
            <v>0.28000000000000003</v>
          </cell>
          <cell r="BL13">
            <v>0.22</v>
          </cell>
          <cell r="BM13">
            <v>0.28999999999999998</v>
          </cell>
          <cell r="BN13">
            <v>0.21</v>
          </cell>
          <cell r="BO13">
            <v>0.3</v>
          </cell>
        </row>
        <row r="14">
          <cell r="A14" t="str">
            <v>Hasty Attack vs Hasty Attack</v>
          </cell>
          <cell r="B14" t="str">
            <v>N/A</v>
          </cell>
          <cell r="C14" t="str">
            <v>N/A</v>
          </cell>
          <cell r="D14" t="str">
            <v>N/A</v>
          </cell>
          <cell r="E14" t="str">
            <v>N/A</v>
          </cell>
          <cell r="F14" t="str">
            <v>N/A</v>
          </cell>
          <cell r="G14" t="str">
            <v>N/A</v>
          </cell>
          <cell r="H14" t="str">
            <v>N/A</v>
          </cell>
          <cell r="I14" t="str">
            <v>N/A</v>
          </cell>
          <cell r="J14" t="str">
            <v>N/A</v>
          </cell>
          <cell r="K14" t="str">
            <v>N/A</v>
          </cell>
          <cell r="L14" t="str">
            <v>N/A</v>
          </cell>
          <cell r="M14" t="str">
            <v>N/A</v>
          </cell>
          <cell r="N14" t="str">
            <v>N/A</v>
          </cell>
          <cell r="O14" t="str">
            <v>N/A</v>
          </cell>
          <cell r="P14" t="str">
            <v>N/A</v>
          </cell>
          <cell r="Q14" t="str">
            <v>N/A</v>
          </cell>
          <cell r="R14" t="str">
            <v>N/A</v>
          </cell>
          <cell r="S14" t="str">
            <v>N/A</v>
          </cell>
          <cell r="T14" t="str">
            <v>N/A</v>
          </cell>
          <cell r="U14" t="str">
            <v>N/A</v>
          </cell>
          <cell r="V14" t="str">
            <v>N/A</v>
          </cell>
          <cell r="W14" t="str">
            <v>N/A</v>
          </cell>
          <cell r="X14" t="str">
            <v>N/A</v>
          </cell>
          <cell r="Y14" t="str">
            <v>N/A</v>
          </cell>
          <cell r="Z14" t="str">
            <v>N/A</v>
          </cell>
          <cell r="AA14" t="str">
            <v>N/A</v>
          </cell>
          <cell r="AB14" t="str">
            <v>N/A</v>
          </cell>
          <cell r="AC14" t="str">
            <v>N/A</v>
          </cell>
          <cell r="AD14" t="str">
            <v>N/A</v>
          </cell>
          <cell r="AE14" t="str">
            <v>N/A</v>
          </cell>
          <cell r="AF14" t="str">
            <v>N/A</v>
          </cell>
          <cell r="AG14" t="str">
            <v>N/A</v>
          </cell>
          <cell r="AH14" t="str">
            <v>N/A</v>
          </cell>
          <cell r="AI14" t="str">
            <v>N/A</v>
          </cell>
          <cell r="AJ14" t="str">
            <v>N/A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N/A</v>
          </cell>
          <cell r="AP14" t="str">
            <v>N/A</v>
          </cell>
          <cell r="AQ14" t="str">
            <v>N/A</v>
          </cell>
          <cell r="AR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N/A</v>
          </cell>
          <cell r="AW14" t="str">
            <v>N/A</v>
          </cell>
          <cell r="AX14" t="str">
            <v>N/A</v>
          </cell>
          <cell r="AY14" t="str">
            <v>N/A</v>
          </cell>
          <cell r="AZ14" t="str">
            <v>N/A</v>
          </cell>
          <cell r="BA14" t="str">
            <v>N/A</v>
          </cell>
          <cell r="BB14" t="str">
            <v>N/A</v>
          </cell>
          <cell r="BC14" t="str">
            <v>N/A</v>
          </cell>
          <cell r="BD14" t="str">
            <v>N/A</v>
          </cell>
          <cell r="BE14" t="str">
            <v>N/A</v>
          </cell>
          <cell r="BF14" t="str">
            <v>N/A</v>
          </cell>
          <cell r="BG14" t="str">
            <v>N/A</v>
          </cell>
          <cell r="BH14" t="str">
            <v>N/A</v>
          </cell>
          <cell r="BI14" t="str">
            <v>N/A</v>
          </cell>
          <cell r="BJ14" t="str">
            <v>N/A</v>
          </cell>
          <cell r="BK14" t="str">
            <v>N/A</v>
          </cell>
          <cell r="BL14" t="str">
            <v>N/A</v>
          </cell>
          <cell r="BM14" t="str">
            <v>N/A</v>
          </cell>
          <cell r="BN14" t="str">
            <v>N/A</v>
          </cell>
          <cell r="BO14" t="str">
            <v>N/A</v>
          </cell>
        </row>
        <row r="15">
          <cell r="A15" t="str">
            <v>Hasty Attack vs Hasty Defense</v>
          </cell>
          <cell r="B15">
            <v>0.7</v>
          </cell>
          <cell r="C15">
            <v>0.12</v>
          </cell>
          <cell r="D15">
            <v>0.68</v>
          </cell>
          <cell r="E15">
            <v>0.13</v>
          </cell>
          <cell r="F15">
            <v>0.68</v>
          </cell>
          <cell r="G15">
            <v>0.13</v>
          </cell>
          <cell r="H15">
            <v>0.67</v>
          </cell>
          <cell r="I15">
            <v>0.14000000000000001</v>
          </cell>
          <cell r="J15">
            <v>0.66</v>
          </cell>
          <cell r="K15">
            <v>0.14000000000000001</v>
          </cell>
          <cell r="L15">
            <v>0.65</v>
          </cell>
          <cell r="M15">
            <v>0.15</v>
          </cell>
          <cell r="N15">
            <v>0.63</v>
          </cell>
          <cell r="O15">
            <v>0.16</v>
          </cell>
          <cell r="P15">
            <v>0.62</v>
          </cell>
          <cell r="Q15">
            <v>0.16</v>
          </cell>
          <cell r="R15">
            <v>0.61</v>
          </cell>
          <cell r="S15">
            <v>0.17</v>
          </cell>
          <cell r="T15">
            <v>0.59</v>
          </cell>
          <cell r="U15">
            <v>0.18</v>
          </cell>
          <cell r="V15">
            <v>0.56999999999999995</v>
          </cell>
          <cell r="W15">
            <v>0.19</v>
          </cell>
          <cell r="X15">
            <v>0.55000000000000004</v>
          </cell>
          <cell r="Y15">
            <v>0.2</v>
          </cell>
          <cell r="Z15">
            <v>0.53</v>
          </cell>
          <cell r="AA15">
            <v>0.21</v>
          </cell>
          <cell r="AB15">
            <v>0.51</v>
          </cell>
          <cell r="AC15">
            <v>0.23</v>
          </cell>
          <cell r="AD15">
            <v>0.48</v>
          </cell>
          <cell r="AE15">
            <v>0.24</v>
          </cell>
          <cell r="AF15">
            <v>0.45</v>
          </cell>
          <cell r="AG15">
            <v>0.26</v>
          </cell>
          <cell r="AH15">
            <v>0.41</v>
          </cell>
          <cell r="AI15">
            <v>0.28000000000000003</v>
          </cell>
          <cell r="AJ15">
            <v>0.36</v>
          </cell>
          <cell r="AK15">
            <v>0.31</v>
          </cell>
          <cell r="AL15">
            <v>0.33</v>
          </cell>
          <cell r="AM15">
            <v>0.32</v>
          </cell>
          <cell r="AN15">
            <v>0.3</v>
          </cell>
          <cell r="AO15">
            <v>0.34</v>
          </cell>
          <cell r="AP15">
            <v>0.28000000000000003</v>
          </cell>
          <cell r="AQ15">
            <v>0.35</v>
          </cell>
          <cell r="AR15">
            <v>0.26</v>
          </cell>
          <cell r="AS15">
            <v>0.36</v>
          </cell>
          <cell r="AT15">
            <v>0.24</v>
          </cell>
          <cell r="AU15">
            <v>0.38</v>
          </cell>
          <cell r="AV15">
            <v>0.22</v>
          </cell>
          <cell r="AW15">
            <v>0.39</v>
          </cell>
          <cell r="AX15">
            <v>0.2</v>
          </cell>
          <cell r="AY15">
            <v>0.39</v>
          </cell>
          <cell r="AZ15">
            <v>0.19</v>
          </cell>
          <cell r="BA15">
            <v>0.4</v>
          </cell>
          <cell r="BB15">
            <v>0.18</v>
          </cell>
          <cell r="BC15">
            <v>0.41</v>
          </cell>
          <cell r="BD15">
            <v>0.16</v>
          </cell>
          <cell r="BE15">
            <v>0.42</v>
          </cell>
          <cell r="BF15">
            <v>0.15</v>
          </cell>
          <cell r="BG15">
            <v>0.42</v>
          </cell>
          <cell r="BH15">
            <v>0.14000000000000001</v>
          </cell>
          <cell r="BI15">
            <v>0.43</v>
          </cell>
          <cell r="BJ15">
            <v>0.13</v>
          </cell>
          <cell r="BK15">
            <v>0.43</v>
          </cell>
          <cell r="BL15">
            <v>0.12</v>
          </cell>
          <cell r="BM15">
            <v>0.44</v>
          </cell>
          <cell r="BN15">
            <v>0.11</v>
          </cell>
          <cell r="BO15">
            <v>0.45</v>
          </cell>
        </row>
        <row r="16">
          <cell r="A16" t="str">
            <v>Hasty Defense vs Deliberate Attack</v>
          </cell>
          <cell r="B16">
            <v>0.51</v>
          </cell>
          <cell r="C16">
            <v>0.09</v>
          </cell>
          <cell r="D16">
            <v>0.5</v>
          </cell>
          <cell r="E16">
            <v>0.09</v>
          </cell>
          <cell r="F16">
            <v>0.5</v>
          </cell>
          <cell r="G16">
            <v>0.09</v>
          </cell>
          <cell r="H16">
            <v>0.49</v>
          </cell>
          <cell r="I16">
            <v>0.1</v>
          </cell>
          <cell r="J16">
            <v>0.48</v>
          </cell>
          <cell r="K16">
            <v>0.1</v>
          </cell>
          <cell r="L16">
            <v>0.48</v>
          </cell>
          <cell r="M16">
            <v>0.1</v>
          </cell>
          <cell r="N16">
            <v>0.47</v>
          </cell>
          <cell r="O16">
            <v>0.11</v>
          </cell>
          <cell r="P16">
            <v>0.46</v>
          </cell>
          <cell r="Q16">
            <v>0.11</v>
          </cell>
          <cell r="R16">
            <v>0.45</v>
          </cell>
          <cell r="S16">
            <v>0.12</v>
          </cell>
          <cell r="T16">
            <v>0.44</v>
          </cell>
          <cell r="U16">
            <v>0.12</v>
          </cell>
          <cell r="V16">
            <v>0.43</v>
          </cell>
          <cell r="W16">
            <v>0.13</v>
          </cell>
          <cell r="X16">
            <v>0.41</v>
          </cell>
          <cell r="Y16">
            <v>0.14000000000000001</v>
          </cell>
          <cell r="Z16">
            <v>0.4</v>
          </cell>
          <cell r="AA16">
            <v>0.15</v>
          </cell>
          <cell r="AB16">
            <v>0.38</v>
          </cell>
          <cell r="AC16">
            <v>0.16</v>
          </cell>
          <cell r="AD16">
            <v>0.36</v>
          </cell>
          <cell r="AE16">
            <v>0.18</v>
          </cell>
          <cell r="AF16">
            <v>0.34</v>
          </cell>
          <cell r="AG16">
            <v>0.2</v>
          </cell>
          <cell r="AH16">
            <v>0.31</v>
          </cell>
          <cell r="AI16">
            <v>0.23</v>
          </cell>
          <cell r="AJ16">
            <v>0.28000000000000003</v>
          </cell>
          <cell r="AK16">
            <v>0.26</v>
          </cell>
          <cell r="AL16">
            <v>0.26</v>
          </cell>
          <cell r="AM16">
            <v>0.28999999999999998</v>
          </cell>
          <cell r="AN16">
            <v>0.24</v>
          </cell>
          <cell r="AO16">
            <v>0.32</v>
          </cell>
          <cell r="AP16">
            <v>0.22</v>
          </cell>
          <cell r="AQ16">
            <v>0.34</v>
          </cell>
          <cell r="AR16">
            <v>0.21</v>
          </cell>
          <cell r="AS16">
            <v>0.37</v>
          </cell>
          <cell r="AT16">
            <v>0.2</v>
          </cell>
          <cell r="AU16">
            <v>0.39</v>
          </cell>
          <cell r="AV16">
            <v>0.19</v>
          </cell>
          <cell r="AW16">
            <v>0.41</v>
          </cell>
          <cell r="AX16">
            <v>0.17</v>
          </cell>
          <cell r="AY16">
            <v>0.44</v>
          </cell>
          <cell r="AZ16">
            <v>0.16</v>
          </cell>
          <cell r="BA16">
            <v>0.46</v>
          </cell>
          <cell r="BB16">
            <v>0.16</v>
          </cell>
          <cell r="BC16">
            <v>0.48</v>
          </cell>
          <cell r="BD16">
            <v>0.15</v>
          </cell>
          <cell r="BE16">
            <v>0.5</v>
          </cell>
          <cell r="BF16">
            <v>0.14000000000000001</v>
          </cell>
          <cell r="BG16">
            <v>0.52</v>
          </cell>
          <cell r="BH16">
            <v>0.13</v>
          </cell>
          <cell r="BI16">
            <v>0.54</v>
          </cell>
          <cell r="BJ16">
            <v>0.12</v>
          </cell>
          <cell r="BK16">
            <v>0.56000000000000005</v>
          </cell>
          <cell r="BL16">
            <v>0.12</v>
          </cell>
          <cell r="BM16">
            <v>0.56000000000000005</v>
          </cell>
          <cell r="BN16">
            <v>0.11</v>
          </cell>
          <cell r="BO16">
            <v>0.59</v>
          </cell>
        </row>
        <row r="17">
          <cell r="A17" t="str">
            <v>Hasty Defense vs Deliberate Defense</v>
          </cell>
          <cell r="B17" t="str">
            <v>N/A</v>
          </cell>
          <cell r="C17" t="str">
            <v>N/A</v>
          </cell>
          <cell r="D17" t="str">
            <v>N/A</v>
          </cell>
          <cell r="E17" t="str">
            <v>N/A</v>
          </cell>
          <cell r="F17" t="str">
            <v>N/A</v>
          </cell>
          <cell r="G17" t="str">
            <v>N/A</v>
          </cell>
          <cell r="H17" t="str">
            <v>N/A</v>
          </cell>
          <cell r="I17" t="str">
            <v>N/A</v>
          </cell>
          <cell r="J17" t="str">
            <v>N/A</v>
          </cell>
          <cell r="K17" t="str">
            <v>N/A</v>
          </cell>
          <cell r="L17" t="str">
            <v>N/A</v>
          </cell>
          <cell r="M17" t="str">
            <v>N/A</v>
          </cell>
          <cell r="N17" t="str">
            <v>N/A</v>
          </cell>
          <cell r="O17" t="str">
            <v>N/A</v>
          </cell>
          <cell r="P17" t="str">
            <v>N/A</v>
          </cell>
          <cell r="Q17" t="str">
            <v>N/A</v>
          </cell>
          <cell r="R17" t="str">
            <v>N/A</v>
          </cell>
          <cell r="S17" t="str">
            <v>N/A</v>
          </cell>
          <cell r="T17" t="str">
            <v>N/A</v>
          </cell>
          <cell r="U17" t="str">
            <v>N/A</v>
          </cell>
          <cell r="V17" t="str">
            <v>N/A</v>
          </cell>
          <cell r="W17" t="str">
            <v>N/A</v>
          </cell>
          <cell r="X17" t="str">
            <v>N/A</v>
          </cell>
          <cell r="Y17" t="str">
            <v>N/A</v>
          </cell>
          <cell r="Z17" t="str">
            <v>N/A</v>
          </cell>
          <cell r="AA17" t="str">
            <v>N/A</v>
          </cell>
          <cell r="AB17" t="str">
            <v>N/A</v>
          </cell>
          <cell r="AC17" t="str">
            <v>N/A</v>
          </cell>
          <cell r="AD17" t="str">
            <v>N/A</v>
          </cell>
          <cell r="AE17" t="str">
            <v>N/A</v>
          </cell>
          <cell r="AF17" t="str">
            <v>N/A</v>
          </cell>
          <cell r="AG17" t="str">
            <v>N/A</v>
          </cell>
          <cell r="AH17" t="str">
            <v>N/A</v>
          </cell>
          <cell r="AI17" t="str">
            <v>N/A</v>
          </cell>
          <cell r="AJ17" t="str">
            <v>N/A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N/A</v>
          </cell>
          <cell r="AP17" t="str">
            <v>N/A</v>
          </cell>
          <cell r="AQ17" t="str">
            <v>N/A</v>
          </cell>
          <cell r="AR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N/A</v>
          </cell>
          <cell r="AW17" t="str">
            <v>N/A</v>
          </cell>
          <cell r="AX17" t="str">
            <v>N/A</v>
          </cell>
          <cell r="AY17" t="str">
            <v>N/A</v>
          </cell>
          <cell r="AZ17" t="str">
            <v>N/A</v>
          </cell>
          <cell r="BA17" t="str">
            <v>N/A</v>
          </cell>
          <cell r="BB17" t="str">
            <v>N/A</v>
          </cell>
          <cell r="BC17" t="str">
            <v>N/A</v>
          </cell>
          <cell r="BD17" t="str">
            <v>N/A</v>
          </cell>
          <cell r="BE17" t="str">
            <v>N/A</v>
          </cell>
          <cell r="BF17" t="str">
            <v>N/A</v>
          </cell>
          <cell r="BG17" t="str">
            <v>N/A</v>
          </cell>
          <cell r="BH17" t="str">
            <v>N/A</v>
          </cell>
          <cell r="BI17" t="str">
            <v>N/A</v>
          </cell>
          <cell r="BJ17" t="str">
            <v>N/A</v>
          </cell>
          <cell r="BK17" t="str">
            <v>N/A</v>
          </cell>
          <cell r="BL17" t="str">
            <v>N/A</v>
          </cell>
          <cell r="BM17" t="str">
            <v>N/A</v>
          </cell>
          <cell r="BN17" t="str">
            <v>N/A</v>
          </cell>
          <cell r="BO17" t="str">
            <v>N/A</v>
          </cell>
        </row>
        <row r="18">
          <cell r="A18" t="str">
            <v>Hasty Defense vs Hasty Attack</v>
          </cell>
          <cell r="B18">
            <v>0.45</v>
          </cell>
          <cell r="C18">
            <v>0.11</v>
          </cell>
          <cell r="D18">
            <v>0.44</v>
          </cell>
          <cell r="E18">
            <v>0.12</v>
          </cell>
          <cell r="F18">
            <v>0.43</v>
          </cell>
          <cell r="G18">
            <v>0.13</v>
          </cell>
          <cell r="H18">
            <v>0.43</v>
          </cell>
          <cell r="I18">
            <v>0.14000000000000001</v>
          </cell>
          <cell r="J18">
            <v>0.42</v>
          </cell>
          <cell r="K18">
            <v>0.15</v>
          </cell>
          <cell r="L18">
            <v>0.42</v>
          </cell>
          <cell r="M18">
            <v>0.16</v>
          </cell>
          <cell r="N18">
            <v>0.41</v>
          </cell>
          <cell r="O18">
            <v>0.18</v>
          </cell>
          <cell r="P18">
            <v>0.4</v>
          </cell>
          <cell r="Q18">
            <v>0.19</v>
          </cell>
          <cell r="R18">
            <v>0.39</v>
          </cell>
          <cell r="S18">
            <v>0.2</v>
          </cell>
          <cell r="T18">
            <v>0.39</v>
          </cell>
          <cell r="U18">
            <v>0.22</v>
          </cell>
          <cell r="V18">
            <v>0.38</v>
          </cell>
          <cell r="W18">
            <v>0.24</v>
          </cell>
          <cell r="X18">
            <v>0.36</v>
          </cell>
          <cell r="Y18">
            <v>0.26</v>
          </cell>
          <cell r="Z18">
            <v>0.35</v>
          </cell>
          <cell r="AA18">
            <v>0.28000000000000003</v>
          </cell>
          <cell r="AB18">
            <v>0.34</v>
          </cell>
          <cell r="AC18">
            <v>0.3</v>
          </cell>
          <cell r="AD18">
            <v>0.32</v>
          </cell>
          <cell r="AE18">
            <v>0.33</v>
          </cell>
          <cell r="AF18">
            <v>0.31</v>
          </cell>
          <cell r="AG18">
            <v>0.36</v>
          </cell>
          <cell r="AH18">
            <v>0.28000000000000003</v>
          </cell>
          <cell r="AI18">
            <v>0.41</v>
          </cell>
          <cell r="AJ18">
            <v>0.26</v>
          </cell>
          <cell r="AK18">
            <v>0.45</v>
          </cell>
          <cell r="AL18">
            <v>0.24</v>
          </cell>
          <cell r="AM18">
            <v>0.48</v>
          </cell>
          <cell r="AN18">
            <v>0.23</v>
          </cell>
          <cell r="AO18">
            <v>0.51</v>
          </cell>
          <cell r="AP18">
            <v>0.21</v>
          </cell>
          <cell r="AQ18">
            <v>0.53</v>
          </cell>
          <cell r="AR18">
            <v>0.2</v>
          </cell>
          <cell r="AS18">
            <v>0.55000000000000004</v>
          </cell>
          <cell r="AT18">
            <v>0.19</v>
          </cell>
          <cell r="AU18">
            <v>0.56999999999999995</v>
          </cell>
          <cell r="AV18">
            <v>0.18</v>
          </cell>
          <cell r="AW18">
            <v>0.59</v>
          </cell>
          <cell r="AX18">
            <v>0.17</v>
          </cell>
          <cell r="AY18">
            <v>0.61</v>
          </cell>
          <cell r="AZ18">
            <v>0.16</v>
          </cell>
          <cell r="BA18">
            <v>0.62</v>
          </cell>
          <cell r="BB18">
            <v>0.16</v>
          </cell>
          <cell r="BC18">
            <v>0.63</v>
          </cell>
          <cell r="BD18">
            <v>0.15</v>
          </cell>
          <cell r="BE18">
            <v>0.65</v>
          </cell>
          <cell r="BF18">
            <v>0.14000000000000001</v>
          </cell>
          <cell r="BG18">
            <v>0.66</v>
          </cell>
          <cell r="BH18">
            <v>0.14000000000000001</v>
          </cell>
          <cell r="BI18">
            <v>0.67</v>
          </cell>
          <cell r="BJ18">
            <v>0.13</v>
          </cell>
          <cell r="BK18">
            <v>0.68</v>
          </cell>
          <cell r="BL18">
            <v>0.13</v>
          </cell>
          <cell r="BM18">
            <v>0.68</v>
          </cell>
          <cell r="BN18">
            <v>0.12</v>
          </cell>
          <cell r="BO18">
            <v>0.7</v>
          </cell>
        </row>
        <row r="19">
          <cell r="A19" t="str">
            <v>Hasty Defense vs Hasty Defense</v>
          </cell>
          <cell r="B19" t="str">
            <v>N/A</v>
          </cell>
          <cell r="C19" t="str">
            <v>N/A</v>
          </cell>
          <cell r="D19" t="str">
            <v>N/A</v>
          </cell>
          <cell r="E19" t="str">
            <v>N/A</v>
          </cell>
          <cell r="F19" t="str">
            <v>N/A</v>
          </cell>
          <cell r="G19" t="str">
            <v>N/A</v>
          </cell>
          <cell r="H19" t="str">
            <v>N/A</v>
          </cell>
          <cell r="I19" t="str">
            <v>N/A</v>
          </cell>
          <cell r="J19" t="str">
            <v>N/A</v>
          </cell>
          <cell r="K19" t="str">
            <v>N/A</v>
          </cell>
          <cell r="L19" t="str">
            <v>N/A</v>
          </cell>
          <cell r="M19" t="str">
            <v>N/A</v>
          </cell>
          <cell r="N19" t="str">
            <v>N/A</v>
          </cell>
          <cell r="O19" t="str">
            <v>N/A</v>
          </cell>
          <cell r="P19" t="str">
            <v>N/A</v>
          </cell>
          <cell r="Q19" t="str">
            <v>N/A</v>
          </cell>
          <cell r="R19" t="str">
            <v>N/A</v>
          </cell>
          <cell r="S19" t="str">
            <v>N/A</v>
          </cell>
          <cell r="T19" t="str">
            <v>N/A</v>
          </cell>
          <cell r="U19" t="str">
            <v>N/A</v>
          </cell>
          <cell r="V19" t="str">
            <v>N/A</v>
          </cell>
          <cell r="W19" t="str">
            <v>N/A</v>
          </cell>
          <cell r="X19" t="str">
            <v>N/A</v>
          </cell>
          <cell r="Y19" t="str">
            <v>N/A</v>
          </cell>
          <cell r="Z19" t="str">
            <v>N/A</v>
          </cell>
          <cell r="AA19" t="str">
            <v>N/A</v>
          </cell>
          <cell r="AB19" t="str">
            <v>N/A</v>
          </cell>
          <cell r="AC19" t="str">
            <v>N/A</v>
          </cell>
          <cell r="AD19" t="str">
            <v>N/A</v>
          </cell>
          <cell r="AE19" t="str">
            <v>N/A</v>
          </cell>
          <cell r="AF19" t="str">
            <v>N/A</v>
          </cell>
          <cell r="AG19" t="str">
            <v>N/A</v>
          </cell>
          <cell r="AH19" t="str">
            <v>N/A</v>
          </cell>
          <cell r="AI19" t="str">
            <v>N/A</v>
          </cell>
          <cell r="AJ19" t="str">
            <v>N/A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N/A</v>
          </cell>
          <cell r="AP19" t="str">
            <v>N/A</v>
          </cell>
          <cell r="AQ19" t="str">
            <v>N/A</v>
          </cell>
          <cell r="AR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N/A</v>
          </cell>
          <cell r="AW19" t="str">
            <v>N/A</v>
          </cell>
          <cell r="AX19" t="str">
            <v>N/A</v>
          </cell>
          <cell r="AY19" t="str">
            <v>N/A</v>
          </cell>
          <cell r="AZ19" t="str">
            <v>N/A</v>
          </cell>
          <cell r="BA19" t="str">
            <v>N/A</v>
          </cell>
          <cell r="BB19" t="str">
            <v>N/A</v>
          </cell>
          <cell r="BC19" t="str">
            <v>N/A</v>
          </cell>
          <cell r="BD19" t="str">
            <v>N/A</v>
          </cell>
          <cell r="BE19" t="str">
            <v>N/A</v>
          </cell>
          <cell r="BF19" t="str">
            <v>N/A</v>
          </cell>
          <cell r="BG19" t="str">
            <v>N/A</v>
          </cell>
          <cell r="BH19" t="str">
            <v>N/A</v>
          </cell>
          <cell r="BI19" t="str">
            <v>N/A</v>
          </cell>
          <cell r="BJ19" t="str">
            <v>N/A</v>
          </cell>
          <cell r="BK19" t="str">
            <v>N/A</v>
          </cell>
          <cell r="BL19" t="str">
            <v>N/A</v>
          </cell>
          <cell r="BM19" t="str">
            <v>N/A</v>
          </cell>
          <cell r="BN19" t="str">
            <v>N/A</v>
          </cell>
          <cell r="BO19" t="str">
            <v>N/A</v>
          </cell>
        </row>
        <row r="20">
          <cell r="A20" t="str">
            <v>Meeting Engagement vs Meeting Engagement</v>
          </cell>
          <cell r="B20">
            <v>0.71</v>
          </cell>
          <cell r="C20">
            <v>0.05</v>
          </cell>
          <cell r="D20">
            <v>0.66</v>
          </cell>
          <cell r="E20">
            <v>0.05</v>
          </cell>
          <cell r="F20">
            <v>0.65</v>
          </cell>
          <cell r="G20">
            <v>0.05</v>
          </cell>
          <cell r="H20">
            <v>0.62</v>
          </cell>
          <cell r="I20">
            <v>0.06</v>
          </cell>
          <cell r="J20">
            <v>0.59</v>
          </cell>
          <cell r="K20">
            <v>0.06</v>
          </cell>
          <cell r="L20">
            <v>0.56000000000000005</v>
          </cell>
          <cell r="M20">
            <v>0.06</v>
          </cell>
          <cell r="N20">
            <v>0.53</v>
          </cell>
          <cell r="O20">
            <v>0.06</v>
          </cell>
          <cell r="P20">
            <v>0.5</v>
          </cell>
          <cell r="Q20">
            <v>7.0000000000000007E-2</v>
          </cell>
          <cell r="R20">
            <v>0.46</v>
          </cell>
          <cell r="S20">
            <v>7.0000000000000007E-2</v>
          </cell>
          <cell r="T20">
            <v>0.43</v>
          </cell>
          <cell r="U20">
            <v>0.08</v>
          </cell>
          <cell r="V20">
            <v>0.4</v>
          </cell>
          <cell r="W20">
            <v>0.06</v>
          </cell>
          <cell r="X20">
            <v>0.37</v>
          </cell>
          <cell r="Y20">
            <v>0.09</v>
          </cell>
          <cell r="Z20">
            <v>0.33</v>
          </cell>
          <cell r="AA20">
            <v>0.1</v>
          </cell>
          <cell r="AB20">
            <v>0.3</v>
          </cell>
          <cell r="AC20">
            <v>0.11</v>
          </cell>
          <cell r="AD20">
            <v>0.26</v>
          </cell>
          <cell r="AE20">
            <v>0.12</v>
          </cell>
          <cell r="AF20">
            <v>0.22</v>
          </cell>
          <cell r="AG20">
            <v>0.14000000000000001</v>
          </cell>
          <cell r="AH20">
            <v>0.19</v>
          </cell>
          <cell r="AI20">
            <v>0.19</v>
          </cell>
          <cell r="AJ20">
            <v>0.15</v>
          </cell>
          <cell r="AK20">
            <v>0.22</v>
          </cell>
          <cell r="AL20">
            <v>0.13</v>
          </cell>
          <cell r="AM20">
            <v>0.25</v>
          </cell>
          <cell r="AN20">
            <v>0.12</v>
          </cell>
          <cell r="AO20">
            <v>0.28999999999999998</v>
          </cell>
          <cell r="AP20">
            <v>0.1</v>
          </cell>
          <cell r="AQ20">
            <v>0.33</v>
          </cell>
          <cell r="AR20">
            <v>0.09</v>
          </cell>
          <cell r="AS20">
            <v>0.37</v>
          </cell>
          <cell r="AT20">
            <v>0.09</v>
          </cell>
          <cell r="AU20">
            <v>0.41</v>
          </cell>
          <cell r="AV20">
            <v>0.08</v>
          </cell>
          <cell r="AW20">
            <v>0.45</v>
          </cell>
          <cell r="AX20">
            <v>7.0000000000000007E-2</v>
          </cell>
          <cell r="AY20">
            <v>0.49</v>
          </cell>
          <cell r="AZ20">
            <v>7.0000000000000007E-2</v>
          </cell>
          <cell r="BA20">
            <v>0.53</v>
          </cell>
          <cell r="BB20">
            <v>0.06</v>
          </cell>
          <cell r="BC20">
            <v>0.56999999999999995</v>
          </cell>
          <cell r="BD20">
            <v>0.06</v>
          </cell>
          <cell r="BE20">
            <v>0.61</v>
          </cell>
          <cell r="BF20">
            <v>0.06</v>
          </cell>
          <cell r="BG20">
            <v>0.65</v>
          </cell>
          <cell r="BH20">
            <v>0.06</v>
          </cell>
          <cell r="BI20">
            <v>0.69</v>
          </cell>
          <cell r="BJ20">
            <v>0.05</v>
          </cell>
          <cell r="BK20">
            <v>0.72</v>
          </cell>
          <cell r="BL20">
            <v>0.05</v>
          </cell>
          <cell r="BM20">
            <v>0.76</v>
          </cell>
          <cell r="BN20">
            <v>0.05</v>
          </cell>
          <cell r="BO20">
            <v>0.8</v>
          </cell>
        </row>
        <row r="25">
          <cell r="A25" t="str">
            <v>Hasty Attack</v>
          </cell>
        </row>
        <row r="26">
          <cell r="A26" t="str">
            <v>Deliberate Attack</v>
          </cell>
        </row>
        <row r="27">
          <cell r="A27" t="str">
            <v>Hasty Defense</v>
          </cell>
        </row>
        <row r="28">
          <cell r="A28" t="str">
            <v>Deliberate Defense</v>
          </cell>
        </row>
        <row r="29">
          <cell r="A29" t="str">
            <v>Meeting Engagement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ce Ratios"/>
      <sheetName val="Data"/>
      <sheetName val="Damage Table"/>
    </sheetNames>
    <sheetDataSet>
      <sheetData sheetId="0" refreshError="1"/>
      <sheetData sheetId="1" refreshError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 and Instructions"/>
      <sheetName val="Force Ratios"/>
      <sheetName val="Data"/>
      <sheetName val="Damage Table"/>
      <sheetName val="DA vs DD"/>
      <sheetName val="DA vs HD"/>
      <sheetName val="HA vs DD"/>
      <sheetName val="HA vs HD"/>
      <sheetName val="ME vs 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00B0FF"/>
      </a:accent1>
      <a:accent2>
        <a:srgbClr val="FFFF00"/>
      </a:accent2>
      <a:accent3>
        <a:srgbClr val="00FF00"/>
      </a:accent3>
      <a:accent4>
        <a:srgbClr val="FF0000"/>
      </a:accent4>
      <a:accent5>
        <a:srgbClr val="800080"/>
      </a:accent5>
      <a:accent6>
        <a:srgbClr val="806210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78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9.emf"/><Relationship Id="rId7" Type="http://schemas.openxmlformats.org/officeDocument/2006/relationships/image" Target="../media/image2.emf"/><Relationship Id="rId12" Type="http://schemas.openxmlformats.org/officeDocument/2006/relationships/control" Target="../activeX/activeX16.xml"/><Relationship Id="rId17" Type="http://schemas.openxmlformats.org/officeDocument/2006/relationships/image" Target="../media/image7.emf"/><Relationship Id="rId25" Type="http://schemas.openxmlformats.org/officeDocument/2006/relationships/image" Target="../media/image18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77.emf"/><Relationship Id="rId24" Type="http://schemas.openxmlformats.org/officeDocument/2006/relationships/control" Target="../activeX/activeX2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80.emf"/><Relationship Id="rId10" Type="http://schemas.openxmlformats.org/officeDocument/2006/relationships/control" Target="../activeX/activeX15.xml"/><Relationship Id="rId19" Type="http://schemas.openxmlformats.org/officeDocument/2006/relationships/image" Target="../media/image8.emf"/><Relationship Id="rId4" Type="http://schemas.openxmlformats.org/officeDocument/2006/relationships/control" Target="../activeX/activeX12.xml"/><Relationship Id="rId9" Type="http://schemas.openxmlformats.org/officeDocument/2006/relationships/image" Target="../media/image176.emf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7738C-5760-4C27-AD3C-D985B5E5F1E6}">
  <sheetPr codeName="Sheet7">
    <pageSetUpPr fitToPage="1"/>
  </sheetPr>
  <dimension ref="B2:W113"/>
  <sheetViews>
    <sheetView showGridLines="0" tabSelected="1" zoomScale="60" zoomScaleNormal="60" workbookViewId="0">
      <pane ySplit="21" topLeftCell="A22" activePane="bottomLeft" state="frozen"/>
      <selection activeCell="O5" sqref="O5"/>
      <selection pane="bottomLeft" activeCell="C31" sqref="C31"/>
    </sheetView>
  </sheetViews>
  <sheetFormatPr defaultRowHeight="15" x14ac:dyDescent="0.25"/>
  <cols>
    <col min="1" max="1" width="10" customWidth="1"/>
    <col min="2" max="2" width="12.85546875" customWidth="1"/>
    <col min="3" max="3" width="67.42578125" customWidth="1"/>
    <col min="4" max="4" width="19" bestFit="1" customWidth="1"/>
    <col min="5" max="5" width="7.85546875" customWidth="1"/>
    <col min="6" max="6" width="10.140625" customWidth="1"/>
    <col min="7" max="7" width="7.42578125" customWidth="1"/>
    <col min="8" max="8" width="14.28515625" customWidth="1"/>
    <col min="9" max="9" width="67.42578125" customWidth="1"/>
    <col min="10" max="10" width="19" bestFit="1" customWidth="1"/>
    <col min="11" max="11" width="10.140625" customWidth="1"/>
    <col min="12" max="21" width="10.140625" hidden="1" customWidth="1"/>
    <col min="22" max="22" width="20.42578125" bestFit="1" customWidth="1"/>
    <col min="23" max="23" width="82.5703125" customWidth="1"/>
    <col min="24" max="34" width="10.140625" customWidth="1"/>
  </cols>
  <sheetData>
    <row r="2" spans="2:23" ht="6.6" customHeight="1" x14ac:dyDescent="0.25"/>
    <row r="3" spans="2:23" s="68" customFormat="1" ht="24" thickBot="1" x14ac:dyDescent="0.35">
      <c r="B3" s="103"/>
      <c r="C3" s="104" t="s">
        <v>0</v>
      </c>
      <c r="D3" s="103"/>
      <c r="E3" s="103"/>
      <c r="F3" s="105" t="str">
        <f>IFERROR(ROUND(E4/G4,2)&amp;" : 1","N/A")</f>
        <v>1.72 : 1</v>
      </c>
      <c r="G3" s="103"/>
      <c r="H3" s="103"/>
      <c r="I3" s="104" t="s">
        <v>1</v>
      </c>
    </row>
    <row r="4" spans="2:23" s="12" customFormat="1" ht="159" customHeight="1" x14ac:dyDescent="0.4">
      <c r="B4" s="106"/>
      <c r="C4" s="107"/>
      <c r="D4" s="108">
        <f>IFERROR(VLOOKUP(CONCATENATE($C$3&amp;" vs "&amp;$I$3),DamageTable,MATCH($E4/$G4,'Damage Table'!$B$2:$BO$2)+1,TRUE),"N/A")</f>
        <v>0.3</v>
      </c>
      <c r="E4" s="170">
        <f>SUM(Q6:Q21)</f>
        <v>24.7</v>
      </c>
      <c r="F4" s="109"/>
      <c r="G4" s="170">
        <f>SUM(T6:T21)</f>
        <v>14.34</v>
      </c>
      <c r="H4" s="108">
        <f>IFERROR(VLOOKUP(CONCATENATE($C$3&amp;" vs "&amp;$I$3),DamageTable,MATCH($E4/$G4,'Damage Table'!$B$2:$BO$2)+2,TRUE),"N/A")</f>
        <v>0.26</v>
      </c>
      <c r="I4" s="110"/>
      <c r="O4" s="11"/>
      <c r="P4" s="11"/>
      <c r="Q4" s="11"/>
      <c r="R4" s="11"/>
      <c r="S4" s="11"/>
      <c r="T4" s="11"/>
      <c r="U4" s="11"/>
      <c r="V4" s="11"/>
    </row>
    <row r="5" spans="2:23" ht="21" customHeight="1" x14ac:dyDescent="0.25">
      <c r="B5" s="111" t="s">
        <v>2</v>
      </c>
      <c r="C5" s="112" t="s">
        <v>3</v>
      </c>
      <c r="D5" s="113" t="s">
        <v>4</v>
      </c>
      <c r="E5" s="114"/>
      <c r="F5" s="114"/>
      <c r="G5" s="114"/>
      <c r="H5" s="111" t="s">
        <v>2</v>
      </c>
      <c r="I5" s="112" t="s">
        <v>3</v>
      </c>
      <c r="J5" s="113" t="s">
        <v>5</v>
      </c>
      <c r="P5" s="13"/>
      <c r="Q5" s="13"/>
      <c r="S5" s="13"/>
      <c r="T5" s="13"/>
      <c r="V5" s="145" t="s">
        <v>250</v>
      </c>
      <c r="W5" s="146" t="s">
        <v>255</v>
      </c>
    </row>
    <row r="6" spans="2:23" x14ac:dyDescent="0.25">
      <c r="B6" s="115">
        <v>1</v>
      </c>
      <c r="C6" s="116" t="s">
        <v>116</v>
      </c>
      <c r="D6" s="117">
        <f>IF(ISBLANK($C6),"",$B6*(1-$D$4))</f>
        <v>0.7</v>
      </c>
      <c r="E6" s="114"/>
      <c r="F6" s="114"/>
      <c r="G6" s="114"/>
      <c r="H6" s="115">
        <v>1</v>
      </c>
      <c r="I6" s="116" t="s">
        <v>188</v>
      </c>
      <c r="J6" s="117">
        <f>IF(ISBLANK($I6),"",$H6*(1-$H$4))</f>
        <v>0.74</v>
      </c>
      <c r="P6" s="16">
        <v>7.95</v>
      </c>
      <c r="Q6" s="16">
        <f>P6*B6</f>
        <v>7.95</v>
      </c>
      <c r="S6" s="16">
        <v>6.04</v>
      </c>
      <c r="T6" s="16">
        <f>S6*H6</f>
        <v>6.04</v>
      </c>
      <c r="V6" s="175" t="s">
        <v>251</v>
      </c>
      <c r="W6" s="174" t="s">
        <v>252</v>
      </c>
    </row>
    <row r="7" spans="2:23" ht="15" customHeight="1" x14ac:dyDescent="0.25">
      <c r="B7" s="115">
        <v>1</v>
      </c>
      <c r="C7" s="116" t="s">
        <v>7</v>
      </c>
      <c r="D7" s="117">
        <f t="shared" ref="D7:D21" si="0">IF(ISBLANK($C7),"",$B7*(1-$D$4))</f>
        <v>0.7</v>
      </c>
      <c r="E7" s="114"/>
      <c r="F7" s="114"/>
      <c r="G7" s="114"/>
      <c r="H7" s="115">
        <v>1</v>
      </c>
      <c r="I7" s="116" t="s">
        <v>112</v>
      </c>
      <c r="J7" s="117">
        <f t="shared" ref="J7:J21" si="1">IF(ISBLANK($I7),"",$H7*(1-$H$4))</f>
        <v>0.74</v>
      </c>
      <c r="P7" s="16">
        <v>7.8</v>
      </c>
      <c r="Q7" s="16">
        <f t="shared" ref="Q7:Q21" si="2">P7*B7</f>
        <v>7.8</v>
      </c>
      <c r="S7" s="16">
        <v>8.3000000000000007</v>
      </c>
      <c r="T7" s="16">
        <f t="shared" ref="T7:T21" si="3">S7*H7</f>
        <v>8.3000000000000007</v>
      </c>
      <c r="V7" s="175"/>
      <c r="W7" s="174"/>
    </row>
    <row r="8" spans="2:23" x14ac:dyDescent="0.25">
      <c r="B8" s="115">
        <v>1</v>
      </c>
      <c r="C8" s="116" t="s">
        <v>109</v>
      </c>
      <c r="D8" s="117">
        <f t="shared" si="0"/>
        <v>0.7</v>
      </c>
      <c r="E8" s="114"/>
      <c r="F8" s="114"/>
      <c r="G8" s="114"/>
      <c r="H8" s="115">
        <v>1</v>
      </c>
      <c r="I8" s="116"/>
      <c r="J8" s="117" t="str">
        <f t="shared" si="1"/>
        <v/>
      </c>
      <c r="P8" s="16">
        <v>8.9499999999999993</v>
      </c>
      <c r="Q8" s="16">
        <f t="shared" si="2"/>
        <v>8.9499999999999993</v>
      </c>
      <c r="S8" s="16">
        <v>0</v>
      </c>
      <c r="T8" s="16">
        <f t="shared" si="3"/>
        <v>0</v>
      </c>
      <c r="V8" s="175"/>
      <c r="W8" s="174"/>
    </row>
    <row r="9" spans="2:23" x14ac:dyDescent="0.25">
      <c r="B9" s="115">
        <v>1</v>
      </c>
      <c r="C9" s="116"/>
      <c r="D9" s="117" t="str">
        <f t="shared" si="0"/>
        <v/>
      </c>
      <c r="E9" s="114"/>
      <c r="F9" s="114"/>
      <c r="G9" s="114"/>
      <c r="H9" s="115">
        <v>1</v>
      </c>
      <c r="I9" s="116"/>
      <c r="J9" s="117" t="str">
        <f t="shared" si="1"/>
        <v/>
      </c>
      <c r="P9" s="16">
        <v>0</v>
      </c>
      <c r="Q9" s="16">
        <f t="shared" si="2"/>
        <v>0</v>
      </c>
      <c r="S9" s="16">
        <v>0</v>
      </c>
      <c r="T9" s="16">
        <f t="shared" si="3"/>
        <v>0</v>
      </c>
      <c r="V9" s="175" t="s">
        <v>253</v>
      </c>
      <c r="W9" s="176" t="s">
        <v>254</v>
      </c>
    </row>
    <row r="10" spans="2:23" x14ac:dyDescent="0.25">
      <c r="B10" s="115">
        <v>1</v>
      </c>
      <c r="C10" s="116"/>
      <c r="D10" s="117" t="str">
        <f t="shared" si="0"/>
        <v/>
      </c>
      <c r="E10" s="114"/>
      <c r="F10" s="114"/>
      <c r="G10" s="114"/>
      <c r="H10" s="115">
        <v>1</v>
      </c>
      <c r="I10" s="116"/>
      <c r="J10" s="117" t="str">
        <f t="shared" si="1"/>
        <v/>
      </c>
      <c r="P10" s="16">
        <v>0</v>
      </c>
      <c r="Q10" s="16">
        <f>P10*B10</f>
        <v>0</v>
      </c>
      <c r="S10" s="16">
        <v>0</v>
      </c>
      <c r="T10" s="16">
        <f t="shared" si="3"/>
        <v>0</v>
      </c>
      <c r="V10" s="175"/>
      <c r="W10" s="176"/>
    </row>
    <row r="11" spans="2:23" x14ac:dyDescent="0.25">
      <c r="B11" s="115">
        <v>1</v>
      </c>
      <c r="C11" s="116"/>
      <c r="D11" s="117" t="str">
        <f t="shared" si="0"/>
        <v/>
      </c>
      <c r="E11" s="114"/>
      <c r="F11" s="114"/>
      <c r="G11" s="114"/>
      <c r="H11" s="115">
        <v>1</v>
      </c>
      <c r="I11" s="116"/>
      <c r="J11" s="117" t="str">
        <f t="shared" si="1"/>
        <v/>
      </c>
      <c r="P11" s="16">
        <v>0</v>
      </c>
      <c r="Q11" s="16">
        <f t="shared" si="2"/>
        <v>0</v>
      </c>
      <c r="S11" s="16">
        <v>0</v>
      </c>
      <c r="T11" s="16">
        <f t="shared" si="3"/>
        <v>0</v>
      </c>
      <c r="V11" s="175"/>
      <c r="W11" s="176"/>
    </row>
    <row r="12" spans="2:23" x14ac:dyDescent="0.25">
      <c r="B12" s="115">
        <v>1</v>
      </c>
      <c r="C12" s="116"/>
      <c r="D12" s="117" t="str">
        <f t="shared" si="0"/>
        <v/>
      </c>
      <c r="E12" s="114"/>
      <c r="F12" s="114"/>
      <c r="G12" s="114"/>
      <c r="H12" s="115">
        <v>1</v>
      </c>
      <c r="I12" s="116"/>
      <c r="J12" s="117" t="str">
        <f t="shared" si="1"/>
        <v/>
      </c>
      <c r="P12" s="16">
        <v>0</v>
      </c>
      <c r="Q12" s="16">
        <f t="shared" si="2"/>
        <v>0</v>
      </c>
      <c r="S12" s="16">
        <v>0</v>
      </c>
      <c r="T12" s="16">
        <f t="shared" si="3"/>
        <v>0</v>
      </c>
    </row>
    <row r="13" spans="2:23" x14ac:dyDescent="0.25">
      <c r="B13" s="115">
        <v>1</v>
      </c>
      <c r="C13" s="116"/>
      <c r="D13" s="117" t="str">
        <f t="shared" si="0"/>
        <v/>
      </c>
      <c r="E13" s="114"/>
      <c r="F13" s="114"/>
      <c r="G13" s="114"/>
      <c r="H13" s="115">
        <v>1</v>
      </c>
      <c r="I13" s="116"/>
      <c r="J13" s="117" t="str">
        <f t="shared" si="1"/>
        <v/>
      </c>
      <c r="P13" s="16">
        <v>0</v>
      </c>
      <c r="Q13" s="16">
        <f t="shared" si="2"/>
        <v>0</v>
      </c>
      <c r="S13" s="16">
        <v>0</v>
      </c>
      <c r="T13" s="16">
        <f t="shared" si="3"/>
        <v>0</v>
      </c>
    </row>
    <row r="14" spans="2:23" x14ac:dyDescent="0.25">
      <c r="B14" s="115">
        <v>1</v>
      </c>
      <c r="C14" s="116"/>
      <c r="D14" s="117" t="str">
        <f t="shared" si="0"/>
        <v/>
      </c>
      <c r="E14" s="114"/>
      <c r="F14" s="114"/>
      <c r="G14" s="114"/>
      <c r="H14" s="115">
        <v>1</v>
      </c>
      <c r="I14" s="116"/>
      <c r="J14" s="117" t="str">
        <f t="shared" si="1"/>
        <v/>
      </c>
      <c r="P14" s="16">
        <v>0</v>
      </c>
      <c r="Q14" s="16">
        <f t="shared" si="2"/>
        <v>0</v>
      </c>
      <c r="S14" s="16">
        <v>0</v>
      </c>
      <c r="T14" s="16">
        <f t="shared" si="3"/>
        <v>0</v>
      </c>
    </row>
    <row r="15" spans="2:23" x14ac:dyDescent="0.25">
      <c r="B15" s="115">
        <v>1</v>
      </c>
      <c r="C15" s="116"/>
      <c r="D15" s="117" t="str">
        <f t="shared" si="0"/>
        <v/>
      </c>
      <c r="E15" s="114"/>
      <c r="F15" s="114"/>
      <c r="G15" s="114"/>
      <c r="H15" s="115">
        <v>1</v>
      </c>
      <c r="I15" s="116"/>
      <c r="J15" s="117" t="str">
        <f t="shared" si="1"/>
        <v/>
      </c>
      <c r="P15" s="16">
        <v>0</v>
      </c>
      <c r="Q15" s="16">
        <f t="shared" si="2"/>
        <v>0</v>
      </c>
      <c r="S15" s="16">
        <v>0</v>
      </c>
      <c r="T15" s="16">
        <f t="shared" si="3"/>
        <v>0</v>
      </c>
    </row>
    <row r="16" spans="2:23" x14ac:dyDescent="0.25">
      <c r="B16" s="115">
        <v>1</v>
      </c>
      <c r="C16" s="116"/>
      <c r="D16" s="117" t="str">
        <f t="shared" si="0"/>
        <v/>
      </c>
      <c r="E16" s="114"/>
      <c r="F16" s="114"/>
      <c r="G16" s="114"/>
      <c r="H16" s="115">
        <v>1</v>
      </c>
      <c r="I16" s="116"/>
      <c r="J16" s="117" t="str">
        <f t="shared" si="1"/>
        <v/>
      </c>
      <c r="P16" s="16">
        <v>0</v>
      </c>
      <c r="Q16" s="16">
        <f t="shared" si="2"/>
        <v>0</v>
      </c>
      <c r="S16" s="16">
        <v>0</v>
      </c>
      <c r="T16" s="16">
        <f t="shared" si="3"/>
        <v>0</v>
      </c>
    </row>
    <row r="17" spans="2:20" x14ac:dyDescent="0.25">
      <c r="B17" s="115">
        <v>1</v>
      </c>
      <c r="C17" s="116"/>
      <c r="D17" s="117" t="str">
        <f t="shared" si="0"/>
        <v/>
      </c>
      <c r="E17" s="114"/>
      <c r="F17" s="114"/>
      <c r="G17" s="114"/>
      <c r="H17" s="115">
        <v>1</v>
      </c>
      <c r="I17" s="116"/>
      <c r="J17" s="117" t="str">
        <f t="shared" si="1"/>
        <v/>
      </c>
      <c r="P17" s="16">
        <v>0</v>
      </c>
      <c r="Q17" s="16">
        <f t="shared" si="2"/>
        <v>0</v>
      </c>
      <c r="S17" s="16">
        <v>0</v>
      </c>
      <c r="T17" s="16">
        <f t="shared" si="3"/>
        <v>0</v>
      </c>
    </row>
    <row r="18" spans="2:20" x14ac:dyDescent="0.25">
      <c r="B18" s="115">
        <v>1</v>
      </c>
      <c r="C18" s="116"/>
      <c r="D18" s="117" t="str">
        <f t="shared" si="0"/>
        <v/>
      </c>
      <c r="E18" s="114"/>
      <c r="F18" s="114"/>
      <c r="G18" s="114"/>
      <c r="H18" s="115">
        <v>1</v>
      </c>
      <c r="I18" s="116"/>
      <c r="J18" s="117" t="str">
        <f t="shared" si="1"/>
        <v/>
      </c>
      <c r="P18" s="16">
        <v>0</v>
      </c>
      <c r="Q18" s="16">
        <f t="shared" si="2"/>
        <v>0</v>
      </c>
      <c r="S18" s="16">
        <v>0</v>
      </c>
      <c r="T18" s="16">
        <f t="shared" si="3"/>
        <v>0</v>
      </c>
    </row>
    <row r="19" spans="2:20" x14ac:dyDescent="0.25">
      <c r="B19" s="115">
        <v>1</v>
      </c>
      <c r="C19" s="116"/>
      <c r="D19" s="117" t="str">
        <f t="shared" si="0"/>
        <v/>
      </c>
      <c r="E19" s="114"/>
      <c r="F19" s="114"/>
      <c r="G19" s="114"/>
      <c r="H19" s="115">
        <v>1</v>
      </c>
      <c r="I19" s="116"/>
      <c r="J19" s="117" t="str">
        <f t="shared" si="1"/>
        <v/>
      </c>
      <c r="P19" s="16">
        <v>0</v>
      </c>
      <c r="Q19" s="16">
        <f t="shared" si="2"/>
        <v>0</v>
      </c>
      <c r="S19" s="16">
        <v>0</v>
      </c>
      <c r="T19" s="16">
        <f t="shared" si="3"/>
        <v>0</v>
      </c>
    </row>
    <row r="20" spans="2:20" x14ac:dyDescent="0.25">
      <c r="B20" s="115">
        <v>1</v>
      </c>
      <c r="C20" s="116"/>
      <c r="D20" s="117" t="str">
        <f t="shared" si="0"/>
        <v/>
      </c>
      <c r="E20" s="114"/>
      <c r="F20" s="114"/>
      <c r="G20" s="114"/>
      <c r="H20" s="115">
        <v>1</v>
      </c>
      <c r="I20" s="116"/>
      <c r="J20" s="117" t="str">
        <f t="shared" si="1"/>
        <v/>
      </c>
      <c r="P20" s="16">
        <v>0</v>
      </c>
      <c r="Q20" s="16">
        <f t="shared" si="2"/>
        <v>0</v>
      </c>
      <c r="S20" s="16">
        <v>0</v>
      </c>
      <c r="T20" s="16">
        <f t="shared" si="3"/>
        <v>0</v>
      </c>
    </row>
    <row r="21" spans="2:20" ht="15.75" thickBot="1" x14ac:dyDescent="0.3">
      <c r="B21" s="115">
        <v>1</v>
      </c>
      <c r="C21" s="119"/>
      <c r="D21" s="117" t="str">
        <f t="shared" si="0"/>
        <v/>
      </c>
      <c r="E21" s="114"/>
      <c r="F21" s="114"/>
      <c r="G21" s="114"/>
      <c r="H21" s="118">
        <v>1</v>
      </c>
      <c r="I21" s="119"/>
      <c r="J21" s="117" t="str">
        <f t="shared" si="1"/>
        <v/>
      </c>
      <c r="P21" s="16">
        <v>0</v>
      </c>
      <c r="Q21" s="16">
        <f t="shared" si="2"/>
        <v>0</v>
      </c>
      <c r="S21" s="16">
        <v>0</v>
      </c>
      <c r="T21" s="16">
        <f t="shared" si="3"/>
        <v>0</v>
      </c>
    </row>
    <row r="22" spans="2:20" s="76" customFormat="1" ht="25.5" customHeight="1" thickBot="1" x14ac:dyDescent="0.3">
      <c r="B22" s="177" t="s">
        <v>248</v>
      </c>
      <c r="C22" s="178"/>
      <c r="D22" s="179"/>
      <c r="E22" s="132"/>
      <c r="F22" s="132"/>
      <c r="G22" s="120"/>
      <c r="H22" s="177" t="s">
        <v>249</v>
      </c>
      <c r="I22" s="178"/>
      <c r="J22" s="179"/>
      <c r="K22" s="133"/>
      <c r="L22" s="133"/>
    </row>
    <row r="23" spans="2:20" s="76" customFormat="1" ht="38.450000000000003" customHeight="1" thickBot="1" x14ac:dyDescent="0.3">
      <c r="B23" s="130" t="s">
        <v>176</v>
      </c>
      <c r="C23" s="131" t="s">
        <v>177</v>
      </c>
      <c r="D23" s="129" t="s">
        <v>178</v>
      </c>
      <c r="E23" s="132"/>
      <c r="F23" s="132"/>
      <c r="G23" s="120"/>
      <c r="H23" s="130" t="s">
        <v>176</v>
      </c>
      <c r="I23" s="131" t="s">
        <v>177</v>
      </c>
      <c r="J23" s="129" t="s">
        <v>178</v>
      </c>
      <c r="K23" s="133"/>
      <c r="L23" s="133"/>
    </row>
    <row r="24" spans="2:20" ht="49.7" customHeight="1" x14ac:dyDescent="0.25">
      <c r="B24" s="121"/>
      <c r="C24" s="140" t="s">
        <v>101</v>
      </c>
      <c r="D24" s="127">
        <v>20.51</v>
      </c>
      <c r="E24" s="122"/>
      <c r="F24" s="122"/>
      <c r="G24" s="123"/>
      <c r="H24" s="134"/>
      <c r="I24" s="136" t="s">
        <v>168</v>
      </c>
      <c r="J24" s="135">
        <v>7</v>
      </c>
      <c r="K24" s="84"/>
      <c r="L24" s="84"/>
      <c r="O24" s="12"/>
      <c r="P24" s="12"/>
      <c r="Q24" s="12"/>
      <c r="R24" s="12"/>
    </row>
    <row r="25" spans="2:20" ht="48.95" customHeight="1" x14ac:dyDescent="0.25">
      <c r="B25" s="121"/>
      <c r="C25" s="140" t="s">
        <v>166</v>
      </c>
      <c r="D25" s="127">
        <v>15.72</v>
      </c>
      <c r="E25" s="122"/>
      <c r="F25" s="122"/>
      <c r="G25" s="123"/>
      <c r="H25" s="121"/>
      <c r="I25" s="137" t="s">
        <v>169</v>
      </c>
      <c r="J25" s="127">
        <v>14</v>
      </c>
      <c r="K25" s="84"/>
      <c r="L25" s="84"/>
      <c r="O25" s="12"/>
      <c r="P25" s="12"/>
      <c r="Q25" s="12"/>
      <c r="R25" s="12"/>
    </row>
    <row r="26" spans="2:20" ht="52.35" customHeight="1" x14ac:dyDescent="0.25">
      <c r="B26" s="121"/>
      <c r="C26" s="140" t="s">
        <v>170</v>
      </c>
      <c r="D26" s="127">
        <v>40</v>
      </c>
      <c r="E26" s="122"/>
      <c r="F26" s="122"/>
      <c r="G26" s="123"/>
      <c r="H26" s="121"/>
      <c r="I26" s="137" t="s">
        <v>170</v>
      </c>
      <c r="J26" s="127">
        <v>35</v>
      </c>
      <c r="K26" s="84"/>
      <c r="L26" s="84"/>
      <c r="O26" s="12"/>
      <c r="P26" s="12"/>
      <c r="Q26" s="12"/>
      <c r="R26" s="12"/>
    </row>
    <row r="27" spans="2:20" ht="52.35" customHeight="1" x14ac:dyDescent="0.25">
      <c r="B27" s="121"/>
      <c r="C27" s="140" t="s">
        <v>16</v>
      </c>
      <c r="D27" s="127">
        <v>80</v>
      </c>
      <c r="E27" s="122"/>
      <c r="F27" s="122"/>
      <c r="G27" s="123"/>
      <c r="H27" s="121"/>
      <c r="I27" s="137" t="s">
        <v>16</v>
      </c>
      <c r="J27" s="127">
        <v>70</v>
      </c>
      <c r="K27" s="84"/>
      <c r="L27" s="84"/>
      <c r="O27" s="12"/>
      <c r="P27" s="12"/>
      <c r="Q27" s="12"/>
      <c r="R27" s="12"/>
    </row>
    <row r="28" spans="2:20" ht="73.900000000000006" customHeight="1" x14ac:dyDescent="0.25">
      <c r="B28" s="121"/>
      <c r="C28" s="140" t="s">
        <v>165</v>
      </c>
      <c r="D28" s="127">
        <v>1.5</v>
      </c>
      <c r="E28" s="122"/>
      <c r="F28" s="122"/>
      <c r="G28" s="123"/>
      <c r="H28" s="121"/>
      <c r="I28" s="137" t="s">
        <v>242</v>
      </c>
      <c r="J28" s="127">
        <v>9.98</v>
      </c>
      <c r="K28" s="84"/>
      <c r="L28" s="84"/>
      <c r="O28" s="12"/>
      <c r="P28" s="12"/>
      <c r="Q28" s="12"/>
      <c r="R28" s="12"/>
    </row>
    <row r="29" spans="2:20" ht="77.099999999999994" customHeight="1" x14ac:dyDescent="0.25">
      <c r="B29" s="121"/>
      <c r="C29" s="140" t="s">
        <v>164</v>
      </c>
      <c r="D29" s="127">
        <v>9.5</v>
      </c>
      <c r="E29" s="122"/>
      <c r="F29" s="122"/>
      <c r="G29" s="123"/>
      <c r="H29" s="121"/>
      <c r="I29" s="137" t="s">
        <v>243</v>
      </c>
      <c r="J29" s="127">
        <v>3.32</v>
      </c>
      <c r="K29" s="84"/>
      <c r="L29" s="84"/>
      <c r="O29" s="12"/>
      <c r="P29" s="12"/>
      <c r="Q29" s="12"/>
      <c r="R29" s="12"/>
    </row>
    <row r="30" spans="2:20" ht="74.45" customHeight="1" x14ac:dyDescent="0.25">
      <c r="B30" s="121"/>
      <c r="C30" s="140" t="s">
        <v>159</v>
      </c>
      <c r="D30" s="127">
        <v>12.3</v>
      </c>
      <c r="E30" s="122"/>
      <c r="F30" s="122"/>
      <c r="G30" s="123"/>
      <c r="H30" s="121"/>
      <c r="I30" s="137" t="s">
        <v>244</v>
      </c>
      <c r="J30" s="127">
        <v>15.42</v>
      </c>
      <c r="K30" s="84"/>
      <c r="L30" s="84"/>
      <c r="O30" s="100"/>
      <c r="P30" s="138"/>
      <c r="Q30" s="12"/>
      <c r="R30" s="12"/>
    </row>
    <row r="31" spans="2:20" ht="76.7" customHeight="1" x14ac:dyDescent="0.25">
      <c r="B31" s="121"/>
      <c r="C31" s="140" t="s">
        <v>167</v>
      </c>
      <c r="D31" s="127">
        <v>5.24</v>
      </c>
      <c r="E31" s="122"/>
      <c r="F31" s="122"/>
      <c r="G31" s="123"/>
      <c r="H31" s="121"/>
      <c r="I31" s="137" t="s">
        <v>245</v>
      </c>
      <c r="J31" s="127">
        <v>5.14</v>
      </c>
      <c r="K31" s="84"/>
      <c r="L31" s="84"/>
      <c r="O31" s="100"/>
      <c r="P31" s="138"/>
      <c r="Q31" s="12"/>
      <c r="R31" s="12"/>
    </row>
    <row r="32" spans="2:20" ht="73.900000000000006" customHeight="1" x14ac:dyDescent="0.25">
      <c r="B32" s="121"/>
      <c r="C32" s="140" t="s">
        <v>168</v>
      </c>
      <c r="D32" s="127">
        <v>8</v>
      </c>
      <c r="E32" s="122"/>
      <c r="F32" s="122"/>
      <c r="G32" s="123"/>
      <c r="H32" s="121"/>
      <c r="I32" s="137" t="s">
        <v>246</v>
      </c>
      <c r="J32" s="127">
        <v>10.08</v>
      </c>
      <c r="K32" s="84"/>
      <c r="L32" s="84"/>
      <c r="O32" s="100"/>
      <c r="P32" s="138"/>
      <c r="Q32" s="12"/>
      <c r="R32" s="12"/>
    </row>
    <row r="33" spans="2:18" ht="75.599999999999994" customHeight="1" x14ac:dyDescent="0.25">
      <c r="B33" s="121"/>
      <c r="C33" s="140" t="s">
        <v>169</v>
      </c>
      <c r="D33" s="127">
        <v>16</v>
      </c>
      <c r="E33" s="122"/>
      <c r="F33" s="122"/>
      <c r="G33" s="123"/>
      <c r="H33" s="121"/>
      <c r="I33" s="137" t="s">
        <v>247</v>
      </c>
      <c r="J33" s="127">
        <v>3.36</v>
      </c>
      <c r="K33" s="84"/>
      <c r="L33" s="84"/>
      <c r="O33" s="12"/>
      <c r="P33" s="12"/>
      <c r="Q33" s="12"/>
      <c r="R33" s="12"/>
    </row>
    <row r="34" spans="2:18" ht="57.6" customHeight="1" x14ac:dyDescent="0.25">
      <c r="B34" s="121"/>
      <c r="C34" s="140" t="s">
        <v>121</v>
      </c>
      <c r="D34" s="127">
        <v>14.16</v>
      </c>
      <c r="E34" s="122"/>
      <c r="F34" s="122"/>
      <c r="G34" s="123"/>
      <c r="H34" s="121"/>
      <c r="I34" s="137" t="s">
        <v>240</v>
      </c>
      <c r="J34" s="127">
        <v>30.52</v>
      </c>
      <c r="K34" s="84"/>
      <c r="L34" s="84"/>
      <c r="O34" s="12"/>
      <c r="P34" s="12"/>
      <c r="Q34" s="12"/>
      <c r="R34" s="12"/>
    </row>
    <row r="35" spans="2:18" ht="56.45" customHeight="1" x14ac:dyDescent="0.25">
      <c r="B35" s="121"/>
      <c r="C35" s="140" t="s">
        <v>123</v>
      </c>
      <c r="D35" s="127">
        <v>17.600000000000001</v>
      </c>
      <c r="E35" s="122"/>
      <c r="F35" s="122"/>
      <c r="G35" s="123"/>
      <c r="H35" s="121"/>
      <c r="I35" s="137" t="s">
        <v>241</v>
      </c>
      <c r="J35" s="127">
        <v>34.380000000000003</v>
      </c>
      <c r="K35" s="84"/>
      <c r="L35" s="84"/>
      <c r="O35" s="12"/>
      <c r="P35" s="12"/>
      <c r="Q35" s="12"/>
      <c r="R35" s="12"/>
    </row>
    <row r="36" spans="2:18" ht="78.75" customHeight="1" x14ac:dyDescent="0.25">
      <c r="B36" s="121"/>
      <c r="C36" s="140" t="s">
        <v>124</v>
      </c>
      <c r="D36" s="127">
        <v>3.31</v>
      </c>
      <c r="E36" s="122"/>
      <c r="F36" s="122"/>
      <c r="G36" s="123"/>
      <c r="H36" s="121"/>
      <c r="I36" s="137" t="s">
        <v>223</v>
      </c>
      <c r="J36" s="127">
        <v>21.88</v>
      </c>
      <c r="K36" s="84"/>
      <c r="L36" s="84"/>
    </row>
    <row r="37" spans="2:18" ht="77.099999999999994" customHeight="1" x14ac:dyDescent="0.25">
      <c r="B37" s="121"/>
      <c r="C37" s="140" t="s">
        <v>125</v>
      </c>
      <c r="D37" s="127">
        <v>4.0999999999999996</v>
      </c>
      <c r="E37" s="122"/>
      <c r="F37" s="122"/>
      <c r="G37" s="123"/>
      <c r="H37" s="121"/>
      <c r="I37" s="137" t="s">
        <v>224</v>
      </c>
      <c r="J37" s="127">
        <v>4.41</v>
      </c>
      <c r="K37" s="84"/>
      <c r="L37" s="84"/>
    </row>
    <row r="38" spans="2:18" ht="78.75" customHeight="1" x14ac:dyDescent="0.25">
      <c r="B38" s="121"/>
      <c r="C38" s="140" t="s">
        <v>158</v>
      </c>
      <c r="D38" s="127">
        <v>6.7</v>
      </c>
      <c r="E38" s="122"/>
      <c r="F38" s="122"/>
      <c r="G38" s="123"/>
      <c r="H38" s="121"/>
      <c r="I38" s="137" t="s">
        <v>227</v>
      </c>
      <c r="J38" s="127">
        <v>21.34</v>
      </c>
      <c r="K38" s="84"/>
      <c r="L38" s="84"/>
    </row>
    <row r="39" spans="2:18" ht="77.099999999999994" customHeight="1" x14ac:dyDescent="0.25">
      <c r="B39" s="121"/>
      <c r="C39" s="140" t="s">
        <v>161</v>
      </c>
      <c r="D39" s="127">
        <v>5.25</v>
      </c>
      <c r="E39" s="122"/>
      <c r="F39" s="122"/>
      <c r="G39" s="123"/>
      <c r="H39" s="121"/>
      <c r="I39" s="137" t="s">
        <v>228</v>
      </c>
      <c r="J39" s="127">
        <v>4.2300000000000004</v>
      </c>
      <c r="K39" s="84"/>
      <c r="L39" s="84"/>
    </row>
    <row r="40" spans="2:18" ht="72.400000000000006" customHeight="1" x14ac:dyDescent="0.25">
      <c r="B40" s="121"/>
      <c r="C40" s="140" t="s">
        <v>162</v>
      </c>
      <c r="D40" s="127">
        <v>10.48</v>
      </c>
      <c r="E40" s="122"/>
      <c r="F40" s="122"/>
      <c r="G40" s="123"/>
      <c r="H40" s="121"/>
      <c r="I40" s="137" t="s">
        <v>231</v>
      </c>
      <c r="J40" s="127">
        <v>2.7</v>
      </c>
      <c r="K40" s="84"/>
      <c r="L40" s="84"/>
    </row>
    <row r="41" spans="2:18" ht="73.349999999999994" customHeight="1" x14ac:dyDescent="0.25">
      <c r="B41" s="121"/>
      <c r="C41" s="140" t="s">
        <v>23</v>
      </c>
      <c r="D41" s="127">
        <v>39.880000000000003</v>
      </c>
      <c r="E41" s="122"/>
      <c r="F41" s="122"/>
      <c r="G41" s="123"/>
      <c r="H41" s="121"/>
      <c r="I41" s="137" t="s">
        <v>230</v>
      </c>
      <c r="J41" s="127">
        <v>16.920000000000002</v>
      </c>
      <c r="K41" s="84"/>
      <c r="L41" s="84"/>
    </row>
    <row r="42" spans="2:18" ht="70.7" customHeight="1" x14ac:dyDescent="0.25">
      <c r="B42" s="121"/>
      <c r="C42" s="140" t="s">
        <v>113</v>
      </c>
      <c r="D42" s="127">
        <v>8.5500000000000007</v>
      </c>
      <c r="E42" s="122"/>
      <c r="F42" s="122"/>
      <c r="G42" s="123"/>
      <c r="H42" s="121"/>
      <c r="I42" s="137" t="s">
        <v>233</v>
      </c>
      <c r="J42" s="127">
        <v>3.15</v>
      </c>
      <c r="K42" s="84"/>
      <c r="L42" s="84"/>
    </row>
    <row r="43" spans="2:18" ht="72.400000000000006" customHeight="1" x14ac:dyDescent="0.25">
      <c r="B43" s="121"/>
      <c r="C43" s="140" t="s">
        <v>17</v>
      </c>
      <c r="D43" s="127">
        <v>37.24</v>
      </c>
      <c r="E43" s="122"/>
      <c r="F43" s="122"/>
      <c r="G43" s="123"/>
      <c r="H43" s="121"/>
      <c r="I43" s="137" t="s">
        <v>232</v>
      </c>
      <c r="J43" s="127">
        <v>18.29</v>
      </c>
      <c r="K43" s="84"/>
      <c r="L43" s="84"/>
    </row>
    <row r="44" spans="2:18" ht="69.75" customHeight="1" x14ac:dyDescent="0.25">
      <c r="B44" s="121"/>
      <c r="C44" s="140" t="s">
        <v>22</v>
      </c>
      <c r="D44" s="127">
        <v>21.31</v>
      </c>
      <c r="E44" s="122"/>
      <c r="F44" s="122"/>
      <c r="G44" s="123"/>
      <c r="H44" s="121"/>
      <c r="I44" s="137" t="s">
        <v>235</v>
      </c>
      <c r="J44" s="127">
        <v>3</v>
      </c>
      <c r="K44" s="84"/>
      <c r="L44" s="84"/>
    </row>
    <row r="45" spans="2:18" ht="71.849999999999994" customHeight="1" x14ac:dyDescent="0.25">
      <c r="B45" s="121"/>
      <c r="C45" s="140" t="s">
        <v>122</v>
      </c>
      <c r="D45" s="127">
        <v>5.01</v>
      </c>
      <c r="E45" s="122"/>
      <c r="F45" s="122"/>
      <c r="G45" s="123"/>
      <c r="H45" s="121"/>
      <c r="I45" s="137" t="s">
        <v>234</v>
      </c>
      <c r="J45" s="127">
        <v>17.95</v>
      </c>
      <c r="K45" s="84"/>
      <c r="L45" s="84"/>
    </row>
    <row r="46" spans="2:18" ht="70.7" customHeight="1" x14ac:dyDescent="0.25">
      <c r="B46" s="121"/>
      <c r="C46" s="140" t="s">
        <v>160</v>
      </c>
      <c r="D46" s="127">
        <v>13.08</v>
      </c>
      <c r="E46" s="122"/>
      <c r="F46" s="122"/>
      <c r="G46" s="123"/>
      <c r="H46" s="121"/>
      <c r="I46" s="137" t="s">
        <v>237</v>
      </c>
      <c r="J46" s="127">
        <v>2.82</v>
      </c>
      <c r="K46" s="84"/>
      <c r="L46" s="84"/>
    </row>
    <row r="47" spans="2:18" ht="72.400000000000006" customHeight="1" x14ac:dyDescent="0.25">
      <c r="B47" s="121"/>
      <c r="C47" s="140" t="s">
        <v>126</v>
      </c>
      <c r="D47" s="127">
        <v>13.17</v>
      </c>
      <c r="E47" s="122"/>
      <c r="F47" s="122"/>
      <c r="G47" s="123"/>
      <c r="H47" s="121"/>
      <c r="I47" s="137" t="s">
        <v>236</v>
      </c>
      <c r="J47" s="127">
        <v>18.03</v>
      </c>
      <c r="K47" s="84"/>
      <c r="L47" s="84"/>
    </row>
    <row r="48" spans="2:18" ht="78.75" customHeight="1" x14ac:dyDescent="0.25">
      <c r="B48" s="121"/>
      <c r="C48" s="140" t="s">
        <v>127</v>
      </c>
      <c r="D48" s="127">
        <v>3.75</v>
      </c>
      <c r="E48" s="122"/>
      <c r="F48" s="122"/>
      <c r="G48" s="123"/>
      <c r="H48" s="121"/>
      <c r="I48" s="137" t="s">
        <v>225</v>
      </c>
      <c r="J48" s="127">
        <v>20.25</v>
      </c>
      <c r="K48" s="84"/>
      <c r="L48" s="84"/>
    </row>
    <row r="49" spans="2:12" ht="77.099999999999994" customHeight="1" x14ac:dyDescent="0.25">
      <c r="B49" s="121"/>
      <c r="C49" s="140" t="s">
        <v>118</v>
      </c>
      <c r="D49" s="127">
        <v>19.09</v>
      </c>
      <c r="E49" s="122"/>
      <c r="F49" s="122"/>
      <c r="G49" s="123"/>
      <c r="H49" s="121"/>
      <c r="I49" s="137" t="s">
        <v>226</v>
      </c>
      <c r="J49" s="127">
        <v>3.83</v>
      </c>
      <c r="K49" s="84"/>
      <c r="L49" s="84"/>
    </row>
    <row r="50" spans="2:12" ht="55.9" customHeight="1" x14ac:dyDescent="0.25">
      <c r="B50" s="121"/>
      <c r="C50" s="140" t="s">
        <v>119</v>
      </c>
      <c r="D50" s="127">
        <v>2.7</v>
      </c>
      <c r="E50" s="122"/>
      <c r="F50" s="122"/>
      <c r="G50" s="123"/>
      <c r="H50" s="121"/>
      <c r="I50" s="137" t="s">
        <v>212</v>
      </c>
      <c r="J50" s="127">
        <v>29.71</v>
      </c>
      <c r="K50" s="84"/>
      <c r="L50" s="84"/>
    </row>
    <row r="51" spans="2:12" ht="72.95" customHeight="1" x14ac:dyDescent="0.25">
      <c r="B51" s="121"/>
      <c r="C51" s="140" t="s">
        <v>117</v>
      </c>
      <c r="D51" s="127">
        <v>131.30000000000001</v>
      </c>
      <c r="E51" s="122"/>
      <c r="F51" s="122"/>
      <c r="G51" s="123"/>
      <c r="H51" s="121"/>
      <c r="I51" s="137" t="s">
        <v>213</v>
      </c>
      <c r="J51" s="127">
        <v>6.6</v>
      </c>
      <c r="K51" s="84"/>
      <c r="L51" s="84"/>
    </row>
    <row r="52" spans="2:12" ht="82.35" customHeight="1" x14ac:dyDescent="0.25">
      <c r="B52" s="121"/>
      <c r="C52" s="140" t="s">
        <v>120</v>
      </c>
      <c r="D52" s="127">
        <v>4.38</v>
      </c>
      <c r="E52" s="122"/>
      <c r="F52" s="122"/>
      <c r="G52" s="123"/>
      <c r="H52" s="121"/>
      <c r="I52" s="137" t="s">
        <v>214</v>
      </c>
      <c r="J52" s="127">
        <v>4.29</v>
      </c>
      <c r="K52" s="84"/>
      <c r="L52" s="84"/>
    </row>
    <row r="53" spans="2:12" ht="55.5" customHeight="1" x14ac:dyDescent="0.25">
      <c r="B53" s="121"/>
      <c r="C53" s="140" t="s">
        <v>96</v>
      </c>
      <c r="D53" s="127">
        <v>32.71</v>
      </c>
      <c r="E53" s="122"/>
      <c r="F53" s="122"/>
      <c r="G53" s="123"/>
      <c r="H53" s="121"/>
      <c r="I53" s="137" t="s">
        <v>215</v>
      </c>
      <c r="J53" s="127">
        <v>15.49</v>
      </c>
      <c r="K53" s="84"/>
      <c r="L53" s="84"/>
    </row>
    <row r="54" spans="2:12" ht="54.95" customHeight="1" x14ac:dyDescent="0.25">
      <c r="B54" s="121"/>
      <c r="C54" s="140" t="s">
        <v>99</v>
      </c>
      <c r="D54" s="127">
        <v>9.2899999999999991</v>
      </c>
      <c r="E54" s="122"/>
      <c r="F54" s="122"/>
      <c r="G54" s="123"/>
      <c r="H54" s="121"/>
      <c r="I54" s="137" t="s">
        <v>217</v>
      </c>
      <c r="J54" s="127">
        <v>1.88</v>
      </c>
      <c r="K54" s="84"/>
      <c r="L54" s="84"/>
    </row>
    <row r="55" spans="2:12" ht="75" customHeight="1" x14ac:dyDescent="0.25">
      <c r="B55" s="121"/>
      <c r="C55" s="140" t="s">
        <v>6</v>
      </c>
      <c r="D55" s="127">
        <v>3.45</v>
      </c>
      <c r="E55" s="122"/>
      <c r="F55" s="122"/>
      <c r="G55" s="123"/>
      <c r="H55" s="121"/>
      <c r="I55" s="137" t="s">
        <v>218</v>
      </c>
      <c r="J55" s="127">
        <v>3.43</v>
      </c>
      <c r="K55" s="84"/>
      <c r="L55" s="84"/>
    </row>
    <row r="56" spans="2:12" ht="74.45" customHeight="1" x14ac:dyDescent="0.25">
      <c r="B56" s="121"/>
      <c r="C56" s="140" t="s">
        <v>107</v>
      </c>
      <c r="D56" s="127">
        <v>248.99</v>
      </c>
      <c r="E56" s="122"/>
      <c r="F56" s="122"/>
      <c r="G56" s="123"/>
      <c r="H56" s="121"/>
      <c r="I56" s="137" t="s">
        <v>219</v>
      </c>
      <c r="J56" s="127">
        <v>6.14</v>
      </c>
      <c r="K56" s="84"/>
      <c r="L56" s="84"/>
    </row>
    <row r="57" spans="2:12" ht="54.4" customHeight="1" x14ac:dyDescent="0.25">
      <c r="B57" s="121"/>
      <c r="C57" s="140" t="s">
        <v>109</v>
      </c>
      <c r="D57" s="127">
        <v>8.9499999999999993</v>
      </c>
      <c r="E57" s="122"/>
      <c r="F57" s="122"/>
      <c r="G57" s="123"/>
      <c r="H57" s="121"/>
      <c r="I57" s="137" t="s">
        <v>220</v>
      </c>
      <c r="J57" s="127">
        <v>21.28</v>
      </c>
      <c r="K57" s="84"/>
      <c r="L57" s="84"/>
    </row>
    <row r="58" spans="2:12" ht="68.650000000000006" customHeight="1" x14ac:dyDescent="0.25">
      <c r="B58" s="121"/>
      <c r="C58" s="140" t="s">
        <v>114</v>
      </c>
      <c r="D58" s="127">
        <v>28.13</v>
      </c>
      <c r="E58" s="122"/>
      <c r="F58" s="122"/>
      <c r="G58" s="123"/>
      <c r="H58" s="121"/>
      <c r="I58" s="137" t="s">
        <v>221</v>
      </c>
      <c r="J58" s="127">
        <v>2.2000000000000002</v>
      </c>
      <c r="K58" s="84"/>
      <c r="L58" s="84"/>
    </row>
    <row r="59" spans="2:12" ht="57" customHeight="1" x14ac:dyDescent="0.25">
      <c r="B59" s="121"/>
      <c r="C59" s="140" t="s">
        <v>115</v>
      </c>
      <c r="D59" s="127">
        <v>5.87</v>
      </c>
      <c r="E59" s="122"/>
      <c r="F59" s="122"/>
      <c r="G59" s="123"/>
      <c r="H59" s="121"/>
      <c r="I59" s="137" t="s">
        <v>203</v>
      </c>
      <c r="J59" s="127">
        <v>15.98</v>
      </c>
      <c r="K59" s="84"/>
      <c r="L59" s="84"/>
    </row>
    <row r="60" spans="2:12" ht="56.45" customHeight="1" x14ac:dyDescent="0.25">
      <c r="B60" s="121"/>
      <c r="C60" s="140" t="s">
        <v>116</v>
      </c>
      <c r="D60" s="127">
        <v>7.95</v>
      </c>
      <c r="E60" s="122"/>
      <c r="F60" s="122"/>
      <c r="G60" s="123"/>
      <c r="H60" s="121"/>
      <c r="I60" s="137" t="s">
        <v>204</v>
      </c>
      <c r="J60" s="127">
        <v>8.35</v>
      </c>
      <c r="K60" s="84"/>
      <c r="L60" s="84"/>
    </row>
    <row r="61" spans="2:12" ht="57" customHeight="1" x14ac:dyDescent="0.25">
      <c r="B61" s="121"/>
      <c r="C61" s="140" t="s">
        <v>163</v>
      </c>
      <c r="D61" s="127">
        <v>4.2</v>
      </c>
      <c r="E61" s="122"/>
      <c r="F61" s="122"/>
      <c r="G61" s="123"/>
      <c r="H61" s="121"/>
      <c r="I61" s="137" t="s">
        <v>205</v>
      </c>
      <c r="J61" s="127">
        <v>3.94</v>
      </c>
      <c r="K61" s="84"/>
      <c r="L61" s="84"/>
    </row>
    <row r="62" spans="2:12" ht="56.45" customHeight="1" x14ac:dyDescent="0.25">
      <c r="B62" s="121"/>
      <c r="C62" s="140" t="s">
        <v>91</v>
      </c>
      <c r="D62" s="127">
        <v>33.450000000000003</v>
      </c>
      <c r="E62" s="122"/>
      <c r="F62" s="122"/>
      <c r="G62" s="123"/>
      <c r="H62" s="121"/>
      <c r="I62" s="137" t="s">
        <v>207</v>
      </c>
      <c r="J62" s="127">
        <v>2.77</v>
      </c>
      <c r="K62" s="84"/>
      <c r="L62" s="84"/>
    </row>
    <row r="63" spans="2:12" ht="56.45" customHeight="1" x14ac:dyDescent="0.25">
      <c r="B63" s="121"/>
      <c r="C63" s="140" t="s">
        <v>94</v>
      </c>
      <c r="D63" s="127">
        <v>8.57</v>
      </c>
      <c r="E63" s="122"/>
      <c r="F63" s="122"/>
      <c r="G63" s="123"/>
      <c r="H63" s="121"/>
      <c r="I63" s="137" t="s">
        <v>208</v>
      </c>
      <c r="J63" s="127">
        <v>4.1900000000000004</v>
      </c>
      <c r="K63" s="84"/>
      <c r="L63" s="84"/>
    </row>
    <row r="64" spans="2:12" ht="60.2" customHeight="1" x14ac:dyDescent="0.25">
      <c r="B64" s="121"/>
      <c r="C64" s="140" t="s">
        <v>97</v>
      </c>
      <c r="D64" s="127">
        <v>7</v>
      </c>
      <c r="E64" s="122"/>
      <c r="F64" s="122"/>
      <c r="G64" s="123"/>
      <c r="H64" s="121"/>
      <c r="I64" s="137" t="s">
        <v>209</v>
      </c>
      <c r="J64" s="127">
        <v>1.33</v>
      </c>
      <c r="K64" s="84"/>
      <c r="L64" s="84"/>
    </row>
    <row r="65" spans="2:12" ht="57.6" customHeight="1" x14ac:dyDescent="0.25">
      <c r="B65" s="121"/>
      <c r="C65" s="140" t="s">
        <v>7</v>
      </c>
      <c r="D65" s="127">
        <v>7.8</v>
      </c>
      <c r="E65" s="122"/>
      <c r="F65" s="122"/>
      <c r="G65" s="123"/>
      <c r="H65" s="121"/>
      <c r="I65" s="137" t="s">
        <v>210</v>
      </c>
      <c r="J65" s="127">
        <v>2.2200000000000002</v>
      </c>
      <c r="K65" s="84"/>
      <c r="L65" s="84"/>
    </row>
    <row r="66" spans="2:12" ht="59.1" customHeight="1" x14ac:dyDescent="0.25">
      <c r="B66" s="121"/>
      <c r="C66" s="172" t="s">
        <v>13</v>
      </c>
      <c r="D66" s="127">
        <v>313.60000000000002</v>
      </c>
      <c r="E66" s="122"/>
      <c r="F66" s="122"/>
      <c r="G66" s="123"/>
      <c r="H66" s="121"/>
      <c r="I66" s="137" t="s">
        <v>211</v>
      </c>
      <c r="J66" s="127">
        <v>3.49</v>
      </c>
      <c r="K66" s="84"/>
      <c r="L66" s="84"/>
    </row>
    <row r="67" spans="2:12" ht="63.4" customHeight="1" x14ac:dyDescent="0.25">
      <c r="B67" s="121"/>
      <c r="C67" s="141" t="s">
        <v>128</v>
      </c>
      <c r="D67" s="127">
        <v>19.100000000000001</v>
      </c>
      <c r="E67" s="122"/>
      <c r="F67" s="122"/>
      <c r="G67" s="123"/>
      <c r="H67" s="121"/>
      <c r="I67" s="137" t="s">
        <v>206</v>
      </c>
      <c r="J67" s="127">
        <v>2.81</v>
      </c>
      <c r="K67" s="84"/>
      <c r="L67" s="84"/>
    </row>
    <row r="68" spans="2:12" ht="62.25" customHeight="1" x14ac:dyDescent="0.25">
      <c r="B68" s="121"/>
      <c r="C68" s="141" t="s">
        <v>129</v>
      </c>
      <c r="D68" s="127">
        <v>45.97</v>
      </c>
      <c r="E68" s="122"/>
      <c r="F68" s="122"/>
      <c r="G68" s="123"/>
      <c r="H68" s="121"/>
      <c r="I68" s="137" t="s">
        <v>20</v>
      </c>
      <c r="J68" s="127">
        <v>30.3</v>
      </c>
      <c r="K68" s="84"/>
      <c r="L68" s="84"/>
    </row>
    <row r="69" spans="2:12" ht="62.85" customHeight="1" x14ac:dyDescent="0.25">
      <c r="B69" s="121"/>
      <c r="C69" s="141" t="s">
        <v>130</v>
      </c>
      <c r="D69" s="127">
        <v>41.25</v>
      </c>
      <c r="E69" s="122"/>
      <c r="F69" s="122"/>
      <c r="G69" s="123"/>
      <c r="H69" s="121"/>
      <c r="I69" s="137" t="s">
        <v>201</v>
      </c>
      <c r="J69" s="127">
        <v>4.47</v>
      </c>
      <c r="K69" s="84"/>
      <c r="L69" s="84"/>
    </row>
    <row r="70" spans="2:12" ht="73.900000000000006" customHeight="1" x14ac:dyDescent="0.25">
      <c r="B70" s="121"/>
      <c r="C70" s="141" t="s">
        <v>131</v>
      </c>
      <c r="D70" s="127">
        <v>19.09</v>
      </c>
      <c r="E70" s="122"/>
      <c r="F70" s="122"/>
      <c r="G70" s="123"/>
      <c r="H70" s="121"/>
      <c r="I70" s="137" t="s">
        <v>197</v>
      </c>
      <c r="J70" s="127">
        <v>2.73</v>
      </c>
      <c r="K70" s="84"/>
      <c r="L70" s="84"/>
    </row>
    <row r="71" spans="2:12" ht="74.45" customHeight="1" x14ac:dyDescent="0.25">
      <c r="B71" s="121"/>
      <c r="C71" s="141" t="s">
        <v>132</v>
      </c>
      <c r="D71" s="127">
        <v>41.91</v>
      </c>
      <c r="E71" s="122"/>
      <c r="F71" s="122"/>
      <c r="G71" s="123"/>
      <c r="H71" s="121"/>
      <c r="I71" s="137" t="s">
        <v>196</v>
      </c>
      <c r="J71" s="127">
        <v>16.850000000000001</v>
      </c>
      <c r="K71" s="84"/>
      <c r="L71" s="84"/>
    </row>
    <row r="72" spans="2:12" ht="83.45" customHeight="1" x14ac:dyDescent="0.25">
      <c r="B72" s="121"/>
      <c r="C72" s="141" t="s">
        <v>134</v>
      </c>
      <c r="D72" s="127">
        <v>26.54</v>
      </c>
      <c r="E72" s="122"/>
      <c r="F72" s="122"/>
      <c r="G72" s="123"/>
      <c r="H72" s="121"/>
      <c r="I72" s="137" t="s">
        <v>194</v>
      </c>
      <c r="J72" s="127">
        <v>28.79</v>
      </c>
      <c r="K72" s="84"/>
      <c r="L72" s="84"/>
    </row>
    <row r="73" spans="2:12" ht="78.2" customHeight="1" x14ac:dyDescent="0.25">
      <c r="B73" s="121"/>
      <c r="C73" s="141" t="s">
        <v>135</v>
      </c>
      <c r="D73" s="127">
        <v>5.23</v>
      </c>
      <c r="E73" s="122"/>
      <c r="F73" s="122"/>
      <c r="G73" s="123"/>
      <c r="H73" s="121"/>
      <c r="I73" s="137" t="s">
        <v>195</v>
      </c>
      <c r="J73" s="127">
        <v>6.29</v>
      </c>
      <c r="K73" s="84"/>
      <c r="L73" s="84"/>
    </row>
    <row r="74" spans="2:12" ht="78.2" customHeight="1" x14ac:dyDescent="0.25">
      <c r="B74" s="121"/>
      <c r="C74" s="142" t="s">
        <v>136</v>
      </c>
      <c r="D74" s="127">
        <v>184.34</v>
      </c>
      <c r="E74" s="122"/>
      <c r="F74" s="122"/>
      <c r="G74" s="123"/>
      <c r="H74" s="121"/>
      <c r="I74" s="137" t="s">
        <v>199</v>
      </c>
      <c r="J74" s="127">
        <v>16.03</v>
      </c>
      <c r="K74" s="84"/>
      <c r="L74" s="84"/>
    </row>
    <row r="75" spans="2:12" ht="78.2" customHeight="1" x14ac:dyDescent="0.25">
      <c r="B75" s="121"/>
      <c r="C75" s="142" t="s">
        <v>137</v>
      </c>
      <c r="D75" s="127">
        <v>38.81</v>
      </c>
      <c r="E75" s="122"/>
      <c r="F75" s="122"/>
      <c r="G75" s="123"/>
      <c r="H75" s="121"/>
      <c r="I75" s="137" t="s">
        <v>198</v>
      </c>
      <c r="J75" s="127">
        <v>9.83</v>
      </c>
      <c r="K75" s="84"/>
      <c r="L75" s="84"/>
    </row>
    <row r="76" spans="2:12" ht="75" customHeight="1" x14ac:dyDescent="0.25">
      <c r="B76" s="121"/>
      <c r="C76" s="142" t="s">
        <v>138</v>
      </c>
      <c r="D76" s="127">
        <v>37.950000000000003</v>
      </c>
      <c r="E76" s="122"/>
      <c r="F76" s="122"/>
      <c r="G76" s="123"/>
      <c r="H76" s="121"/>
      <c r="I76" s="137" t="s">
        <v>184</v>
      </c>
      <c r="J76" s="127">
        <v>15.31</v>
      </c>
      <c r="K76" s="84"/>
      <c r="L76" s="84"/>
    </row>
    <row r="77" spans="2:12" ht="77.099999999999994" customHeight="1" x14ac:dyDescent="0.25">
      <c r="B77" s="121"/>
      <c r="C77" s="142" t="s">
        <v>139</v>
      </c>
      <c r="D77" s="127">
        <v>28.13</v>
      </c>
      <c r="E77" s="122"/>
      <c r="F77" s="122"/>
      <c r="G77" s="123"/>
      <c r="H77" s="121"/>
      <c r="I77" s="137" t="s">
        <v>187</v>
      </c>
      <c r="J77" s="127">
        <v>28.01</v>
      </c>
      <c r="K77" s="84"/>
      <c r="L77" s="84"/>
    </row>
    <row r="78" spans="2:12" ht="78.2" customHeight="1" x14ac:dyDescent="0.25">
      <c r="B78" s="121"/>
      <c r="C78" s="143" t="s">
        <v>140</v>
      </c>
      <c r="D78" s="127">
        <v>100.3477</v>
      </c>
      <c r="E78" s="122"/>
      <c r="F78" s="122"/>
      <c r="G78" s="123"/>
      <c r="H78" s="121"/>
      <c r="I78" s="137" t="s">
        <v>188</v>
      </c>
      <c r="J78" s="127">
        <v>6.04</v>
      </c>
      <c r="K78" s="84"/>
      <c r="L78" s="84"/>
    </row>
    <row r="79" spans="2:12" ht="78.75" customHeight="1" x14ac:dyDescent="0.25">
      <c r="B79" s="121"/>
      <c r="C79" s="143" t="s">
        <v>141</v>
      </c>
      <c r="D79" s="127">
        <v>55.396799999999999</v>
      </c>
      <c r="E79" s="122"/>
      <c r="F79" s="122"/>
      <c r="G79" s="123"/>
      <c r="H79" s="121"/>
      <c r="I79" s="137" t="s">
        <v>189</v>
      </c>
      <c r="J79" s="127">
        <v>7.24</v>
      </c>
      <c r="K79" s="84"/>
      <c r="L79" s="84"/>
    </row>
    <row r="80" spans="2:12" ht="78.2" customHeight="1" x14ac:dyDescent="0.25">
      <c r="B80" s="121"/>
      <c r="C80" s="143" t="s">
        <v>142</v>
      </c>
      <c r="D80" s="127">
        <v>9.4271999999999991</v>
      </c>
      <c r="E80" s="122"/>
      <c r="F80" s="122"/>
      <c r="G80" s="123"/>
      <c r="H80" s="121"/>
      <c r="I80" s="137" t="s">
        <v>192</v>
      </c>
      <c r="J80" s="127">
        <v>31.55</v>
      </c>
      <c r="K80" s="84"/>
      <c r="L80" s="84"/>
    </row>
    <row r="81" spans="2:12" ht="78.75" customHeight="1" x14ac:dyDescent="0.25">
      <c r="B81" s="121"/>
      <c r="C81" s="143" t="s">
        <v>143</v>
      </c>
      <c r="D81" s="127">
        <v>25.47</v>
      </c>
      <c r="E81" s="122"/>
      <c r="F81" s="122"/>
      <c r="G81" s="123"/>
      <c r="H81" s="121"/>
      <c r="I81" s="137" t="s">
        <v>193</v>
      </c>
      <c r="J81" s="127">
        <v>5.57</v>
      </c>
      <c r="K81" s="84"/>
      <c r="L81" s="84"/>
    </row>
    <row r="82" spans="2:12" ht="79.349999999999994" customHeight="1" x14ac:dyDescent="0.25">
      <c r="B82" s="121"/>
      <c r="C82" s="143" t="s">
        <v>144</v>
      </c>
      <c r="D82" s="127">
        <v>5.22</v>
      </c>
      <c r="E82" s="122"/>
      <c r="F82" s="122"/>
      <c r="G82" s="123"/>
      <c r="H82" s="121"/>
      <c r="I82" s="137" t="s">
        <v>183</v>
      </c>
      <c r="J82" s="127">
        <v>8.8699999999999992</v>
      </c>
      <c r="K82" s="84"/>
      <c r="L82" s="84"/>
    </row>
    <row r="83" spans="2:12" ht="75" customHeight="1" x14ac:dyDescent="0.25">
      <c r="B83" s="121"/>
      <c r="C83" s="143" t="s">
        <v>145</v>
      </c>
      <c r="D83" s="127">
        <v>2.032</v>
      </c>
      <c r="E83" s="122"/>
      <c r="F83" s="122"/>
      <c r="G83" s="123"/>
      <c r="H83" s="121"/>
      <c r="I83" s="137" t="s">
        <v>190</v>
      </c>
      <c r="J83" s="127">
        <v>16.13</v>
      </c>
      <c r="K83" s="84"/>
      <c r="L83" s="84"/>
    </row>
    <row r="84" spans="2:12" ht="61.35" customHeight="1" x14ac:dyDescent="0.25">
      <c r="B84" s="121"/>
      <c r="C84" s="143" t="s">
        <v>146</v>
      </c>
      <c r="D84" s="127">
        <v>64.849900000000005</v>
      </c>
      <c r="E84" s="122"/>
      <c r="F84" s="122"/>
      <c r="G84" s="123"/>
      <c r="H84" s="121"/>
      <c r="I84" s="137" t="s">
        <v>239</v>
      </c>
      <c r="J84" s="127">
        <v>25.91</v>
      </c>
      <c r="K84" s="84"/>
      <c r="L84" s="84"/>
    </row>
    <row r="85" spans="2:12" ht="77.650000000000006" customHeight="1" x14ac:dyDescent="0.25">
      <c r="B85" s="121"/>
      <c r="C85" s="143" t="s">
        <v>147</v>
      </c>
      <c r="D85" s="127">
        <v>124.8861</v>
      </c>
      <c r="E85" s="122"/>
      <c r="F85" s="122"/>
      <c r="G85" s="123"/>
      <c r="H85" s="121"/>
      <c r="I85" s="137" t="s">
        <v>111</v>
      </c>
      <c r="J85" s="127">
        <v>41.12</v>
      </c>
      <c r="K85" s="84"/>
      <c r="L85" s="84"/>
    </row>
    <row r="86" spans="2:12" ht="77.099999999999994" customHeight="1" x14ac:dyDescent="0.25">
      <c r="B86" s="121"/>
      <c r="C86" s="143" t="s">
        <v>148</v>
      </c>
      <c r="D86" s="127">
        <v>36.299999999999997</v>
      </c>
      <c r="E86" s="122"/>
      <c r="F86" s="122"/>
      <c r="G86" s="123"/>
      <c r="H86" s="121"/>
      <c r="I86" s="137" t="s">
        <v>112</v>
      </c>
      <c r="J86" s="127">
        <v>8.3000000000000007</v>
      </c>
      <c r="K86" s="84"/>
      <c r="L86" s="84"/>
    </row>
    <row r="87" spans="2:12" ht="83.45" customHeight="1" x14ac:dyDescent="0.25">
      <c r="B87" s="121"/>
      <c r="C87" s="143" t="s">
        <v>149</v>
      </c>
      <c r="D87" s="127">
        <v>7.1</v>
      </c>
      <c r="E87" s="122"/>
      <c r="F87" s="122"/>
      <c r="G87" s="123"/>
      <c r="H87" s="121"/>
      <c r="I87" s="137" t="s">
        <v>179</v>
      </c>
      <c r="J87" s="127">
        <v>28.96</v>
      </c>
      <c r="K87" s="84"/>
      <c r="L87" s="84"/>
    </row>
    <row r="88" spans="2:12" ht="78.2" customHeight="1" x14ac:dyDescent="0.25">
      <c r="B88" s="121"/>
      <c r="C88" s="143" t="s">
        <v>150</v>
      </c>
      <c r="D88" s="127">
        <v>74.204899999999995</v>
      </c>
      <c r="E88" s="122"/>
      <c r="F88" s="122"/>
      <c r="G88" s="123"/>
      <c r="H88" s="121"/>
      <c r="I88" s="137" t="s">
        <v>180</v>
      </c>
      <c r="J88" s="127">
        <v>6.34</v>
      </c>
      <c r="K88" s="84"/>
      <c r="L88" s="84"/>
    </row>
    <row r="89" spans="2:12" ht="78.75" customHeight="1" x14ac:dyDescent="0.25">
      <c r="B89" s="121"/>
      <c r="C89" s="143" t="s">
        <v>151</v>
      </c>
      <c r="D89" s="127">
        <v>34.78</v>
      </c>
      <c r="E89" s="122"/>
      <c r="F89" s="122"/>
      <c r="G89" s="123"/>
      <c r="H89" s="121"/>
      <c r="I89" s="137" t="s">
        <v>181</v>
      </c>
      <c r="J89" s="127">
        <v>21.42</v>
      </c>
      <c r="K89" s="84"/>
      <c r="L89" s="84"/>
    </row>
    <row r="90" spans="2:12" ht="77.099999999999994" customHeight="1" x14ac:dyDescent="0.25">
      <c r="B90" s="121"/>
      <c r="C90" s="143" t="s">
        <v>152</v>
      </c>
      <c r="D90" s="127">
        <v>6.7</v>
      </c>
      <c r="E90" s="122"/>
      <c r="F90" s="122"/>
      <c r="G90" s="123"/>
      <c r="H90" s="121"/>
      <c r="I90" s="137" t="s">
        <v>182</v>
      </c>
      <c r="J90" s="127">
        <v>4.26</v>
      </c>
      <c r="K90" s="84"/>
      <c r="L90" s="84"/>
    </row>
    <row r="91" spans="2:12" ht="84" customHeight="1" x14ac:dyDescent="0.25">
      <c r="B91" s="121"/>
      <c r="C91" s="143" t="s">
        <v>153</v>
      </c>
      <c r="D91" s="127">
        <v>129.54060000000001</v>
      </c>
      <c r="E91" s="122"/>
      <c r="F91" s="122"/>
      <c r="G91" s="123"/>
      <c r="H91" s="121"/>
      <c r="I91" s="137" t="s">
        <v>105</v>
      </c>
      <c r="J91" s="127">
        <v>8.8699999999999992</v>
      </c>
      <c r="K91" s="84"/>
      <c r="L91" s="84"/>
    </row>
    <row r="92" spans="2:12" ht="78.2" customHeight="1" x14ac:dyDescent="0.25">
      <c r="B92" s="121"/>
      <c r="C92" s="143" t="s">
        <v>155</v>
      </c>
      <c r="D92" s="127">
        <v>4.0991999999999997</v>
      </c>
      <c r="E92" s="122"/>
      <c r="F92" s="122"/>
      <c r="G92" s="123"/>
      <c r="H92" s="121"/>
      <c r="I92" s="137" t="s">
        <v>19</v>
      </c>
      <c r="J92" s="127">
        <v>36.299999999999997</v>
      </c>
      <c r="K92" s="84"/>
      <c r="L92" s="84"/>
    </row>
    <row r="93" spans="2:12" ht="77.650000000000006" customHeight="1" x14ac:dyDescent="0.25">
      <c r="B93" s="121"/>
      <c r="C93" s="143" t="s">
        <v>154</v>
      </c>
      <c r="D93" s="127">
        <v>20.779499999999999</v>
      </c>
      <c r="E93" s="122"/>
      <c r="F93" s="122"/>
      <c r="G93" s="123"/>
      <c r="H93" s="121"/>
      <c r="I93" s="137" t="s">
        <v>108</v>
      </c>
      <c r="J93" s="127">
        <v>7.1</v>
      </c>
      <c r="K93" s="84"/>
      <c r="L93" s="84"/>
    </row>
    <row r="94" spans="2:12" ht="90.4" customHeight="1" x14ac:dyDescent="0.25">
      <c r="B94" s="121"/>
      <c r="C94" s="143" t="s">
        <v>156</v>
      </c>
      <c r="D94" s="127">
        <v>14.58</v>
      </c>
      <c r="E94" s="122"/>
      <c r="F94" s="122"/>
      <c r="G94" s="123"/>
      <c r="H94" s="121"/>
      <c r="I94" s="137" t="s">
        <v>110</v>
      </c>
      <c r="J94" s="127">
        <v>269.35000000000002</v>
      </c>
      <c r="K94" s="84"/>
      <c r="L94" s="84"/>
    </row>
    <row r="95" spans="2:12" ht="84.6" customHeight="1" x14ac:dyDescent="0.25">
      <c r="B95" s="121"/>
      <c r="C95" s="143" t="s">
        <v>157</v>
      </c>
      <c r="D95" s="127">
        <v>6.3630000000000004</v>
      </c>
      <c r="E95" s="122"/>
      <c r="F95" s="122"/>
      <c r="G95" s="123"/>
      <c r="H95" s="121"/>
      <c r="I95" s="137" t="s">
        <v>95</v>
      </c>
      <c r="J95" s="127">
        <v>8.67</v>
      </c>
      <c r="K95" s="84"/>
      <c r="L95" s="84"/>
    </row>
    <row r="96" spans="2:12" ht="77.099999999999994" customHeight="1" x14ac:dyDescent="0.25">
      <c r="B96" s="121"/>
      <c r="C96" s="172" t="s">
        <v>133</v>
      </c>
      <c r="D96" s="127">
        <v>33.42</v>
      </c>
      <c r="E96" s="122"/>
      <c r="F96" s="122"/>
      <c r="G96" s="123"/>
      <c r="H96" s="121"/>
      <c r="I96" s="137" t="s">
        <v>18</v>
      </c>
      <c r="J96" s="127">
        <v>25.47</v>
      </c>
      <c r="K96" s="84"/>
      <c r="L96" s="84"/>
    </row>
    <row r="97" spans="2:12" ht="78.2" customHeight="1" thickBot="1" x14ac:dyDescent="0.3">
      <c r="B97" s="124"/>
      <c r="C97" s="173" t="s">
        <v>15</v>
      </c>
      <c r="D97" s="128">
        <v>208.61</v>
      </c>
      <c r="E97" s="122"/>
      <c r="F97" s="122"/>
      <c r="G97" s="123"/>
      <c r="H97" s="121"/>
      <c r="I97" s="137" t="s">
        <v>98</v>
      </c>
      <c r="J97" s="127">
        <v>5.22</v>
      </c>
      <c r="K97" s="84"/>
      <c r="L97" s="84"/>
    </row>
    <row r="98" spans="2:12" ht="80.25" customHeight="1" x14ac:dyDescent="0.25">
      <c r="B98" s="123"/>
      <c r="C98" s="123"/>
      <c r="D98" s="123"/>
      <c r="E98" s="123"/>
      <c r="F98" s="123"/>
      <c r="G98" s="123"/>
      <c r="H98" s="121"/>
      <c r="I98" s="137" t="s">
        <v>100</v>
      </c>
      <c r="J98" s="127">
        <v>21.42</v>
      </c>
      <c r="K98" s="84"/>
      <c r="L98" s="84"/>
    </row>
    <row r="99" spans="2:12" ht="79.7" customHeight="1" x14ac:dyDescent="0.25">
      <c r="B99" s="123"/>
      <c r="C99" s="123"/>
      <c r="D99" s="123"/>
      <c r="E99" s="123"/>
      <c r="F99" s="123"/>
      <c r="G99" s="123"/>
      <c r="H99" s="121"/>
      <c r="I99" s="137" t="s">
        <v>102</v>
      </c>
      <c r="J99" s="127">
        <v>4.26</v>
      </c>
      <c r="K99" s="84"/>
      <c r="L99" s="84"/>
    </row>
    <row r="100" spans="2:12" ht="72.400000000000006" customHeight="1" x14ac:dyDescent="0.25">
      <c r="B100" s="123"/>
      <c r="C100" s="123"/>
      <c r="D100" s="123"/>
      <c r="E100" s="123"/>
      <c r="F100" s="123"/>
      <c r="G100" s="123"/>
      <c r="H100" s="121"/>
      <c r="I100" s="137" t="s">
        <v>103</v>
      </c>
      <c r="J100" s="127">
        <v>3.24</v>
      </c>
      <c r="K100" s="84"/>
      <c r="L100" s="84"/>
    </row>
    <row r="101" spans="2:12" ht="83.45" customHeight="1" x14ac:dyDescent="0.25">
      <c r="B101" s="123"/>
      <c r="C101" s="123"/>
      <c r="D101" s="123"/>
      <c r="E101" s="123"/>
      <c r="F101" s="123"/>
      <c r="G101" s="123"/>
      <c r="H101" s="121"/>
      <c r="I101" s="137" t="s">
        <v>92</v>
      </c>
      <c r="J101" s="127">
        <v>42.9</v>
      </c>
      <c r="K101" s="84"/>
      <c r="L101" s="84"/>
    </row>
    <row r="102" spans="2:12" ht="90.4" customHeight="1" x14ac:dyDescent="0.25">
      <c r="B102" s="123"/>
      <c r="C102" s="123"/>
      <c r="D102" s="123"/>
      <c r="E102" s="123"/>
      <c r="F102" s="123"/>
      <c r="G102" s="123"/>
      <c r="H102" s="121"/>
      <c r="I102" s="137" t="s">
        <v>14</v>
      </c>
      <c r="J102" s="127">
        <v>274.8</v>
      </c>
      <c r="K102" s="84"/>
      <c r="L102" s="84"/>
    </row>
    <row r="103" spans="2:12" ht="89.85" customHeight="1" x14ac:dyDescent="0.25">
      <c r="B103" s="123"/>
      <c r="C103" s="123"/>
      <c r="D103" s="123"/>
      <c r="E103" s="123"/>
      <c r="F103" s="123"/>
      <c r="G103" s="123"/>
      <c r="H103" s="121"/>
      <c r="I103" s="137" t="s">
        <v>106</v>
      </c>
      <c r="J103" s="127">
        <v>251.05</v>
      </c>
      <c r="K103" s="84"/>
      <c r="L103" s="84"/>
    </row>
    <row r="104" spans="2:12" ht="89.85" customHeight="1" x14ac:dyDescent="0.25">
      <c r="B104" s="123"/>
      <c r="C104" s="123"/>
      <c r="D104" s="123"/>
      <c r="E104" s="123"/>
      <c r="F104" s="123"/>
      <c r="G104" s="123"/>
      <c r="H104" s="121"/>
      <c r="I104" s="137" t="s">
        <v>21</v>
      </c>
      <c r="J104" s="127">
        <v>211.95</v>
      </c>
      <c r="K104" s="84"/>
      <c r="L104" s="84"/>
    </row>
    <row r="105" spans="2:12" ht="89.85" customHeight="1" x14ac:dyDescent="0.25">
      <c r="B105" s="123"/>
      <c r="C105" s="123"/>
      <c r="D105" s="123"/>
      <c r="E105" s="123"/>
      <c r="F105" s="123"/>
      <c r="G105" s="123"/>
      <c r="H105" s="121"/>
      <c r="I105" s="137" t="s">
        <v>185</v>
      </c>
      <c r="J105" s="127">
        <v>222.64</v>
      </c>
      <c r="K105" s="84"/>
      <c r="L105" s="84"/>
    </row>
    <row r="106" spans="2:12" ht="89.85" customHeight="1" x14ac:dyDescent="0.25">
      <c r="B106" s="123"/>
      <c r="C106" s="123"/>
      <c r="D106" s="123"/>
      <c r="E106" s="123"/>
      <c r="F106" s="123"/>
      <c r="G106" s="123"/>
      <c r="H106" s="121"/>
      <c r="I106" s="137" t="s">
        <v>186</v>
      </c>
      <c r="J106" s="127">
        <v>230.49</v>
      </c>
      <c r="K106" s="84"/>
      <c r="L106" s="84"/>
    </row>
    <row r="107" spans="2:12" ht="79.349999999999994" customHeight="1" x14ac:dyDescent="0.25">
      <c r="B107" s="123"/>
      <c r="C107" s="123"/>
      <c r="D107" s="123"/>
      <c r="E107" s="123"/>
      <c r="F107" s="123"/>
      <c r="G107" s="123"/>
      <c r="H107" s="121"/>
      <c r="I107" s="137" t="s">
        <v>191</v>
      </c>
      <c r="J107" s="127">
        <v>240.18</v>
      </c>
      <c r="K107" s="84"/>
      <c r="L107" s="84"/>
    </row>
    <row r="108" spans="2:12" ht="62.25" customHeight="1" x14ac:dyDescent="0.25">
      <c r="B108" s="123"/>
      <c r="C108" s="123"/>
      <c r="D108" s="123"/>
      <c r="E108" s="123"/>
      <c r="F108" s="123"/>
      <c r="G108" s="123"/>
      <c r="H108" s="121"/>
      <c r="I108" s="137" t="s">
        <v>200</v>
      </c>
      <c r="J108" s="127">
        <v>192.89</v>
      </c>
      <c r="K108" s="84"/>
      <c r="L108" s="84"/>
    </row>
    <row r="109" spans="2:12" ht="57.6" customHeight="1" x14ac:dyDescent="0.25">
      <c r="B109" s="123"/>
      <c r="C109" s="123"/>
      <c r="D109" s="123"/>
      <c r="E109" s="123"/>
      <c r="F109" s="123"/>
      <c r="G109" s="123"/>
      <c r="H109" s="121"/>
      <c r="I109" s="137" t="s">
        <v>202</v>
      </c>
      <c r="J109" s="127">
        <v>75.13</v>
      </c>
      <c r="K109" s="84"/>
      <c r="L109" s="84"/>
    </row>
    <row r="110" spans="2:12" ht="55.5" customHeight="1" x14ac:dyDescent="0.25">
      <c r="B110" s="123"/>
      <c r="C110" s="123"/>
      <c r="D110" s="123"/>
      <c r="E110" s="123"/>
      <c r="F110" s="123"/>
      <c r="G110" s="123"/>
      <c r="H110" s="121"/>
      <c r="I110" s="137" t="s">
        <v>222</v>
      </c>
      <c r="J110" s="127">
        <v>131.55000000000001</v>
      </c>
      <c r="K110" s="84"/>
      <c r="L110" s="84"/>
    </row>
    <row r="111" spans="2:12" ht="55.5" customHeight="1" x14ac:dyDescent="0.25">
      <c r="B111" s="123"/>
      <c r="C111" s="123"/>
      <c r="D111" s="123"/>
      <c r="E111" s="123"/>
      <c r="F111" s="123"/>
      <c r="G111" s="123"/>
      <c r="H111" s="121"/>
      <c r="I111" s="137" t="s">
        <v>229</v>
      </c>
      <c r="J111" s="127">
        <v>104.15</v>
      </c>
      <c r="K111" s="84"/>
      <c r="L111" s="84"/>
    </row>
    <row r="112" spans="2:12" ht="55.5" customHeight="1" x14ac:dyDescent="0.25">
      <c r="B112" s="123"/>
      <c r="C112" s="123"/>
      <c r="D112" s="123"/>
      <c r="E112" s="123"/>
      <c r="F112" s="123"/>
      <c r="G112" s="123"/>
      <c r="H112" s="121"/>
      <c r="I112" s="137" t="s">
        <v>238</v>
      </c>
      <c r="J112" s="127">
        <v>122.8</v>
      </c>
      <c r="K112" s="84"/>
      <c r="L112" s="84"/>
    </row>
    <row r="113" spans="2:12" ht="54.95" customHeight="1" thickBot="1" x14ac:dyDescent="0.3">
      <c r="B113" s="123"/>
      <c r="C113" s="123"/>
      <c r="D113" s="123"/>
      <c r="E113" s="123"/>
      <c r="F113" s="123"/>
      <c r="G113" s="123"/>
      <c r="H113" s="124"/>
      <c r="I113" s="139" t="s">
        <v>216</v>
      </c>
      <c r="J113" s="128">
        <v>18.04</v>
      </c>
      <c r="K113" s="84"/>
      <c r="L113" s="84"/>
    </row>
  </sheetData>
  <mergeCells count="6">
    <mergeCell ref="W6:W8"/>
    <mergeCell ref="V9:V11"/>
    <mergeCell ref="W9:W11"/>
    <mergeCell ref="B22:D22"/>
    <mergeCell ref="H22:J22"/>
    <mergeCell ref="V6:V8"/>
  </mergeCells>
  <conditionalFormatting sqref="B6:B21">
    <cfRule type="cellIs" dxfId="23" priority="10" stopIfTrue="1" operator="greaterThanOrEqual">
      <formula>0.75</formula>
    </cfRule>
    <cfRule type="cellIs" dxfId="22" priority="11" stopIfTrue="1" operator="between">
      <formula>0.74</formula>
      <formula>0.5</formula>
    </cfRule>
    <cfRule type="cellIs" dxfId="21" priority="12" stopIfTrue="1" operator="lessThan">
      <formula>0.5</formula>
    </cfRule>
  </conditionalFormatting>
  <conditionalFormatting sqref="H6:H21">
    <cfRule type="cellIs" dxfId="20" priority="7" stopIfTrue="1" operator="greaterThanOrEqual">
      <formula>0.75</formula>
    </cfRule>
    <cfRule type="cellIs" dxfId="19" priority="8" stopIfTrue="1" operator="between">
      <formula>0.74</formula>
      <formula>0.5</formula>
    </cfRule>
    <cfRule type="cellIs" dxfId="18" priority="9" stopIfTrue="1" operator="lessThan">
      <formula>0.5</formula>
    </cfRule>
  </conditionalFormatting>
  <conditionalFormatting sqref="J6:J21">
    <cfRule type="cellIs" dxfId="17" priority="4" stopIfTrue="1" operator="greaterThanOrEqual">
      <formula>0.75</formula>
    </cfRule>
    <cfRule type="cellIs" dxfId="16" priority="5" stopIfTrue="1" operator="between">
      <formula>0.74</formula>
      <formula>0.5</formula>
    </cfRule>
    <cfRule type="cellIs" dxfId="15" priority="6" stopIfTrue="1" operator="lessThan">
      <formula>0.5</formula>
    </cfRule>
  </conditionalFormatting>
  <conditionalFormatting sqref="D6:D21">
    <cfRule type="cellIs" dxfId="14" priority="1" stopIfTrue="1" operator="greaterThanOrEqual">
      <formula>0.75</formula>
    </cfRule>
    <cfRule type="cellIs" dxfId="13" priority="2" stopIfTrue="1" operator="between">
      <formula>0.74</formula>
      <formula>0.5</formula>
    </cfRule>
    <cfRule type="cellIs" dxfId="12" priority="3" stopIfTrue="1" operator="lessThan">
      <formula>0.5</formula>
    </cfRule>
  </conditionalFormatting>
  <dataValidations count="1">
    <dataValidation type="decimal" allowBlank="1" showInputMessage="1" sqref="B6:B21 H6:H21" xr:uid="{F9104EEB-2D5F-4994-8D84-2AA8FDBED486}">
      <formula1>0</formula1>
      <formula2>100</formula2>
    </dataValidation>
  </dataValidations>
  <pageMargins left="0.7" right="0.7" top="0.75" bottom="0.75" header="0.3" footer="0.3"/>
  <pageSetup scale="57" orientation="landscape" r:id="rId1"/>
  <drawing r:id="rId2"/>
  <legacyDrawing r:id="rId3"/>
  <controls>
    <mc:AlternateContent xmlns:mc="http://schemas.openxmlformats.org/markup-compatibility/2006">
      <mc:Choice Requires="x14">
        <control shapeId="27649" r:id="rId4" name="Go">
          <controlPr defaultSize="0" print="0" autoFill="0" autoLine="0" r:id="rId5">
            <anchor moveWithCells="1">
              <from>
                <xdr:col>5</xdr:col>
                <xdr:colOff>57150</xdr:colOff>
                <xdr:row>3</xdr:row>
                <xdr:rowOff>1295400</xdr:rowOff>
              </from>
              <to>
                <xdr:col>5</xdr:col>
                <xdr:colOff>628650</xdr:colOff>
                <xdr:row>3</xdr:row>
                <xdr:rowOff>1962150</xdr:rowOff>
              </to>
            </anchor>
          </controlPr>
        </control>
      </mc:Choice>
      <mc:Fallback>
        <control shapeId="27649" r:id="rId4" name="Go"/>
      </mc:Fallback>
    </mc:AlternateContent>
    <mc:AlternateContent xmlns:mc="http://schemas.openxmlformats.org/markup-compatibility/2006">
      <mc:Choice Requires="x14">
        <control shapeId="27650" r:id="rId6" name="Hasty_A">
          <controlPr defaultSize="0" print="0" autoLine="0" r:id="rId7">
            <anchor moveWithCells="1">
              <from>
                <xdr:col>0</xdr:col>
                <xdr:colOff>95250</xdr:colOff>
                <xdr:row>2</xdr:row>
                <xdr:rowOff>57150</xdr:rowOff>
              </from>
              <to>
                <xdr:col>1</xdr:col>
                <xdr:colOff>819150</xdr:colOff>
                <xdr:row>3</xdr:row>
                <xdr:rowOff>57150</xdr:rowOff>
              </to>
            </anchor>
          </controlPr>
        </control>
      </mc:Choice>
      <mc:Fallback>
        <control shapeId="27650" r:id="rId6" name="Hasty_A"/>
      </mc:Fallback>
    </mc:AlternateContent>
    <mc:AlternateContent xmlns:mc="http://schemas.openxmlformats.org/markup-compatibility/2006">
      <mc:Choice Requires="x14">
        <control shapeId="27651" r:id="rId8" name="Hasty_D">
          <controlPr defaultSize="0" print="0" autoLine="0" r:id="rId9">
            <anchor moveWithCells="1">
              <from>
                <xdr:col>0</xdr:col>
                <xdr:colOff>95250</xdr:colOff>
                <xdr:row>3</xdr:row>
                <xdr:rowOff>66675</xdr:rowOff>
              </from>
              <to>
                <xdr:col>1</xdr:col>
                <xdr:colOff>819150</xdr:colOff>
                <xdr:row>3</xdr:row>
                <xdr:rowOff>371475</xdr:rowOff>
              </to>
            </anchor>
          </controlPr>
        </control>
      </mc:Choice>
      <mc:Fallback>
        <control shapeId="27651" r:id="rId8" name="Hasty_D"/>
      </mc:Fallback>
    </mc:AlternateContent>
    <mc:AlternateContent xmlns:mc="http://schemas.openxmlformats.org/markup-compatibility/2006">
      <mc:Choice Requires="x14">
        <control shapeId="27652" r:id="rId10" name="Delib_A">
          <controlPr defaultSize="0" print="0" autoLine="0" r:id="rId11">
            <anchor moveWithCells="1">
              <from>
                <xdr:col>0</xdr:col>
                <xdr:colOff>95250</xdr:colOff>
                <xdr:row>3</xdr:row>
                <xdr:rowOff>400050</xdr:rowOff>
              </from>
              <to>
                <xdr:col>1</xdr:col>
                <xdr:colOff>819150</xdr:colOff>
                <xdr:row>3</xdr:row>
                <xdr:rowOff>914400</xdr:rowOff>
              </to>
            </anchor>
          </controlPr>
        </control>
      </mc:Choice>
      <mc:Fallback>
        <control shapeId="27652" r:id="rId10" name="Delib_A"/>
      </mc:Fallback>
    </mc:AlternateContent>
    <mc:AlternateContent xmlns:mc="http://schemas.openxmlformats.org/markup-compatibility/2006">
      <mc:Choice Requires="x14">
        <control shapeId="27653" r:id="rId12" name="Delib_D">
          <controlPr defaultSize="0" print="0" autoLine="0" r:id="rId13">
            <anchor moveWithCells="1">
              <from>
                <xdr:col>0</xdr:col>
                <xdr:colOff>95250</xdr:colOff>
                <xdr:row>3</xdr:row>
                <xdr:rowOff>933450</xdr:rowOff>
              </from>
              <to>
                <xdr:col>1</xdr:col>
                <xdr:colOff>819150</xdr:colOff>
                <xdr:row>3</xdr:row>
                <xdr:rowOff>1438275</xdr:rowOff>
              </to>
            </anchor>
          </controlPr>
        </control>
      </mc:Choice>
      <mc:Fallback>
        <control shapeId="27653" r:id="rId12" name="Delib_D"/>
      </mc:Fallback>
    </mc:AlternateContent>
    <mc:AlternateContent xmlns:mc="http://schemas.openxmlformats.org/markup-compatibility/2006">
      <mc:Choice Requires="x14">
        <control shapeId="27654" r:id="rId14" name="Meeting">
          <controlPr defaultSize="0" print="0" autoLine="0" r:id="rId15">
            <anchor moveWithCells="1">
              <from>
                <xdr:col>0</xdr:col>
                <xdr:colOff>95250</xdr:colOff>
                <xdr:row>3</xdr:row>
                <xdr:rowOff>1466850</xdr:rowOff>
              </from>
              <to>
                <xdr:col>1</xdr:col>
                <xdr:colOff>819150</xdr:colOff>
                <xdr:row>3</xdr:row>
                <xdr:rowOff>1971675</xdr:rowOff>
              </to>
            </anchor>
          </controlPr>
        </control>
      </mc:Choice>
      <mc:Fallback>
        <control shapeId="27654" r:id="rId14" name="Meeting"/>
      </mc:Fallback>
    </mc:AlternateContent>
    <mc:AlternateContent xmlns:mc="http://schemas.openxmlformats.org/markup-compatibility/2006">
      <mc:Choice Requires="x14">
        <control shapeId="27655" r:id="rId16" name="Hasty_AE">
          <controlPr defaultSize="0" print="0" autoLine="0" r:id="rId17">
            <anchor moveWithCells="1">
              <from>
                <xdr:col>9</xdr:col>
                <xdr:colOff>47625</xdr:colOff>
                <xdr:row>2</xdr:row>
                <xdr:rowOff>28575</xdr:rowOff>
              </from>
              <to>
                <xdr:col>10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7655" r:id="rId16" name="Hasty_AE"/>
      </mc:Fallback>
    </mc:AlternateContent>
    <mc:AlternateContent xmlns:mc="http://schemas.openxmlformats.org/markup-compatibility/2006">
      <mc:Choice Requires="x14">
        <control shapeId="27656" r:id="rId18" name="Hasty_DE">
          <controlPr defaultSize="0" print="0" autoLine="0" r:id="rId19">
            <anchor moveWithCells="1">
              <from>
                <xdr:col>9</xdr:col>
                <xdr:colOff>47625</xdr:colOff>
                <xdr:row>3</xdr:row>
                <xdr:rowOff>114300</xdr:rowOff>
              </from>
              <to>
                <xdr:col>10</xdr:col>
                <xdr:colOff>180975</xdr:colOff>
                <xdr:row>3</xdr:row>
                <xdr:rowOff>447675</xdr:rowOff>
              </to>
            </anchor>
          </controlPr>
        </control>
      </mc:Choice>
      <mc:Fallback>
        <control shapeId="27656" r:id="rId18" name="Hasty_DE"/>
      </mc:Fallback>
    </mc:AlternateContent>
    <mc:AlternateContent xmlns:mc="http://schemas.openxmlformats.org/markup-compatibility/2006">
      <mc:Choice Requires="x14">
        <control shapeId="27657" r:id="rId20" name="Delib_AE">
          <controlPr defaultSize="0" print="0" autoLine="0" r:id="rId21">
            <anchor moveWithCells="1">
              <from>
                <xdr:col>9</xdr:col>
                <xdr:colOff>47625</xdr:colOff>
                <xdr:row>3</xdr:row>
                <xdr:rowOff>504825</xdr:rowOff>
              </from>
              <to>
                <xdr:col>10</xdr:col>
                <xdr:colOff>200025</xdr:colOff>
                <xdr:row>3</xdr:row>
                <xdr:rowOff>962025</xdr:rowOff>
              </to>
            </anchor>
          </controlPr>
        </control>
      </mc:Choice>
      <mc:Fallback>
        <control shapeId="27657" r:id="rId20" name="Delib_AE"/>
      </mc:Fallback>
    </mc:AlternateContent>
    <mc:AlternateContent xmlns:mc="http://schemas.openxmlformats.org/markup-compatibility/2006">
      <mc:Choice Requires="x14">
        <control shapeId="27658" r:id="rId22" name="Delib_DE">
          <controlPr defaultSize="0" print="0" autoLine="0" r:id="rId23">
            <anchor moveWithCells="1">
              <from>
                <xdr:col>9</xdr:col>
                <xdr:colOff>47625</xdr:colOff>
                <xdr:row>3</xdr:row>
                <xdr:rowOff>1009650</xdr:rowOff>
              </from>
              <to>
                <xdr:col>10</xdr:col>
                <xdr:colOff>190500</xdr:colOff>
                <xdr:row>3</xdr:row>
                <xdr:rowOff>1457325</xdr:rowOff>
              </to>
            </anchor>
          </controlPr>
        </control>
      </mc:Choice>
      <mc:Fallback>
        <control shapeId="27658" r:id="rId22" name="Delib_DE"/>
      </mc:Fallback>
    </mc:AlternateContent>
    <mc:AlternateContent xmlns:mc="http://schemas.openxmlformats.org/markup-compatibility/2006">
      <mc:Choice Requires="x14">
        <control shapeId="27659" r:id="rId24" name="Meeting_E">
          <controlPr defaultSize="0" print="0" autoLine="0" r:id="rId25">
            <anchor moveWithCells="1">
              <from>
                <xdr:col>9</xdr:col>
                <xdr:colOff>47625</xdr:colOff>
                <xdr:row>3</xdr:row>
                <xdr:rowOff>1514475</xdr:rowOff>
              </from>
              <to>
                <xdr:col>10</xdr:col>
                <xdr:colOff>190500</xdr:colOff>
                <xdr:row>3</xdr:row>
                <xdr:rowOff>1971675</xdr:rowOff>
              </to>
            </anchor>
          </controlPr>
        </control>
      </mc:Choice>
      <mc:Fallback>
        <control shapeId="27659" r:id="rId24" name="Meeting_E"/>
      </mc:Fallback>
    </mc:AlternateContent>
    <mc:AlternateContent xmlns:mc="http://schemas.openxmlformats.org/markup-compatibility/2006">
      <mc:Choice Requires="x14">
        <control shapeId="27660" r:id="rId26" name="Button 12">
          <controlPr defaultSize="0" print="0" autoFill="0" autoPict="0" macro="[0]!Clear_EA">
            <anchor moveWithCells="1" sizeWithCells="1">
              <from>
                <xdr:col>4</xdr:col>
                <xdr:colOff>285750</xdr:colOff>
                <xdr:row>17</xdr:row>
                <xdr:rowOff>57150</xdr:rowOff>
              </from>
              <to>
                <xdr:col>6</xdr:col>
                <xdr:colOff>200025</xdr:colOff>
                <xdr:row>20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B2:AA58"/>
  <sheetViews>
    <sheetView showGridLines="0" zoomScale="70" zoomScaleNormal="70" workbookViewId="0">
      <pane ySplit="15" topLeftCell="A16" activePane="bottomLeft" state="frozen"/>
      <selection activeCell="O5" sqref="O5"/>
      <selection pane="bottomLeft" activeCell="Q6" sqref="Q6"/>
    </sheetView>
  </sheetViews>
  <sheetFormatPr defaultRowHeight="15" x14ac:dyDescent="0.25"/>
  <cols>
    <col min="1" max="1" width="10" customWidth="1"/>
    <col min="2" max="2" width="12.85546875" customWidth="1"/>
    <col min="3" max="3" width="67.42578125" customWidth="1"/>
    <col min="4" max="4" width="12.85546875" customWidth="1"/>
    <col min="5" max="5" width="7.85546875" customWidth="1"/>
    <col min="6" max="6" width="10.140625" customWidth="1"/>
    <col min="7" max="7" width="7.42578125" customWidth="1"/>
    <col min="8" max="8" width="12.85546875" customWidth="1"/>
    <col min="9" max="9" width="67.42578125" customWidth="1"/>
    <col min="10" max="10" width="12.85546875" customWidth="1"/>
    <col min="11" max="34" width="10.140625" customWidth="1"/>
  </cols>
  <sheetData>
    <row r="2" spans="2:23" ht="6.6" customHeight="1" x14ac:dyDescent="0.25"/>
    <row r="3" spans="2:23" s="68" customFormat="1" ht="24" thickBot="1" x14ac:dyDescent="0.35">
      <c r="C3" s="89" t="s">
        <v>12</v>
      </c>
      <c r="F3" s="69" t="str">
        <f>ROUND(E4/G4,1)&amp;" : 1"</f>
        <v>1.7 : 1</v>
      </c>
      <c r="I3" s="89" t="s">
        <v>11</v>
      </c>
    </row>
    <row r="4" spans="2:23" s="12" customFormat="1" ht="159" customHeight="1" x14ac:dyDescent="0.5">
      <c r="B4" s="11"/>
      <c r="C4" s="14"/>
      <c r="D4" s="70">
        <f>VLOOKUP(CONCATENATE($C$3&amp;" vs "&amp;$I$3),DamageTable,MATCH($E4/$G4,'Damage Table'!$B$2:$BO$2)+1,TRUE)</f>
        <v>0.24</v>
      </c>
      <c r="E4" s="17">
        <f>SUM(Q6:Q15)</f>
        <v>303.76350000000008</v>
      </c>
      <c r="G4" s="17">
        <f>SUM(T6:T15)</f>
        <v>178.67250000000001</v>
      </c>
      <c r="I4" s="15"/>
      <c r="J4" s="70">
        <f>VLOOKUP(CONCATENATE($C$3&amp;" vs "&amp;$I$3),DamageTable,MATCH($E4/$G4,'Damage Table'!$B$2:$BO$2)+2,TRUE)</f>
        <v>0.48</v>
      </c>
      <c r="P4" s="11"/>
      <c r="Q4" s="11"/>
      <c r="R4" s="11"/>
      <c r="S4" s="11"/>
      <c r="T4" s="11"/>
      <c r="U4" s="11"/>
      <c r="V4" s="11"/>
      <c r="W4" s="11"/>
    </row>
    <row r="5" spans="2:23" ht="21" customHeight="1" x14ac:dyDescent="0.25">
      <c r="B5" s="73" t="s">
        <v>2</v>
      </c>
      <c r="C5" s="74" t="s">
        <v>3</v>
      </c>
      <c r="D5" s="72" t="s">
        <v>4</v>
      </c>
      <c r="E5" s="92"/>
      <c r="F5" s="92"/>
      <c r="G5" s="92"/>
      <c r="H5" s="73" t="s">
        <v>2</v>
      </c>
      <c r="I5" s="74" t="s">
        <v>3</v>
      </c>
      <c r="J5" s="72" t="s">
        <v>5</v>
      </c>
      <c r="P5" s="13"/>
      <c r="Q5" s="13"/>
      <c r="S5" s="13"/>
      <c r="T5" s="13"/>
    </row>
    <row r="6" spans="2:23" x14ac:dyDescent="0.25">
      <c r="B6" s="75">
        <v>0.88</v>
      </c>
      <c r="C6" s="71" t="s">
        <v>17</v>
      </c>
      <c r="D6" s="90">
        <f t="shared" ref="D6:D15" si="0">B6*(1-$D$4)</f>
        <v>0.66880000000000006</v>
      </c>
      <c r="E6" s="92"/>
      <c r="F6" s="92"/>
      <c r="G6" s="92"/>
      <c r="H6" s="75">
        <v>1</v>
      </c>
      <c r="I6" s="71" t="s">
        <v>18</v>
      </c>
      <c r="J6" s="90">
        <f t="shared" ref="J6:J15" si="1">H6*(1-$J$4)</f>
        <v>0.52</v>
      </c>
      <c r="P6" s="16">
        <v>37.24</v>
      </c>
      <c r="Q6" s="16">
        <f>P6*B6</f>
        <v>32.7712</v>
      </c>
      <c r="S6" s="16">
        <v>25.47</v>
      </c>
      <c r="T6" s="16">
        <f>S6*H6</f>
        <v>25.47</v>
      </c>
    </row>
    <row r="7" spans="2:23" x14ac:dyDescent="0.25">
      <c r="B7" s="75">
        <v>0.97</v>
      </c>
      <c r="C7" s="71" t="s">
        <v>17</v>
      </c>
      <c r="D7" s="90">
        <f t="shared" si="0"/>
        <v>0.73719999999999997</v>
      </c>
      <c r="E7" s="92"/>
      <c r="F7" s="92"/>
      <c r="G7" s="92"/>
      <c r="H7" s="75">
        <v>0.55000000000000004</v>
      </c>
      <c r="I7" s="71" t="s">
        <v>19</v>
      </c>
      <c r="J7" s="90">
        <f t="shared" si="1"/>
        <v>0.28600000000000003</v>
      </c>
      <c r="P7" s="16">
        <v>37.24</v>
      </c>
      <c r="Q7" s="16">
        <f t="shared" ref="Q7:Q15" si="2">P7*B7</f>
        <v>36.122799999999998</v>
      </c>
      <c r="S7" s="16">
        <v>36.299999999999997</v>
      </c>
      <c r="T7" s="16">
        <f t="shared" ref="T7:T15" si="3">S7*H7</f>
        <v>19.965</v>
      </c>
    </row>
    <row r="8" spans="2:23" x14ac:dyDescent="0.25">
      <c r="B8" s="75">
        <v>1</v>
      </c>
      <c r="C8" s="71" t="s">
        <v>17</v>
      </c>
      <c r="D8" s="90">
        <f t="shared" si="0"/>
        <v>0.76</v>
      </c>
      <c r="E8" s="92"/>
      <c r="F8" s="92"/>
      <c r="G8" s="92"/>
      <c r="H8" s="75">
        <v>0.55000000000000004</v>
      </c>
      <c r="I8" s="71" t="s">
        <v>20</v>
      </c>
      <c r="J8" s="90">
        <f t="shared" si="1"/>
        <v>0.28600000000000003</v>
      </c>
      <c r="P8" s="16">
        <v>37.24</v>
      </c>
      <c r="Q8" s="16">
        <f t="shared" si="2"/>
        <v>37.24</v>
      </c>
      <c r="S8" s="16">
        <v>30.3</v>
      </c>
      <c r="T8" s="16">
        <f t="shared" si="3"/>
        <v>16.665000000000003</v>
      </c>
    </row>
    <row r="9" spans="2:23" x14ac:dyDescent="0.25">
      <c r="B9" s="75">
        <v>1</v>
      </c>
      <c r="C9" s="71" t="s">
        <v>17</v>
      </c>
      <c r="D9" s="90">
        <f t="shared" si="0"/>
        <v>0.76</v>
      </c>
      <c r="E9" s="92"/>
      <c r="F9" s="92"/>
      <c r="G9" s="92"/>
      <c r="H9" s="75">
        <v>0.55000000000000004</v>
      </c>
      <c r="I9" s="71" t="s">
        <v>21</v>
      </c>
      <c r="J9" s="90">
        <f t="shared" si="1"/>
        <v>0.28600000000000003</v>
      </c>
      <c r="P9" s="16">
        <v>37.24</v>
      </c>
      <c r="Q9" s="16">
        <f t="shared" si="2"/>
        <v>37.24</v>
      </c>
      <c r="S9" s="16">
        <v>211.95</v>
      </c>
      <c r="T9" s="16">
        <f t="shared" si="3"/>
        <v>116.57250000000001</v>
      </c>
    </row>
    <row r="10" spans="2:23" x14ac:dyDescent="0.25">
      <c r="B10" s="75">
        <v>1</v>
      </c>
      <c r="C10" s="71" t="s">
        <v>17</v>
      </c>
      <c r="D10" s="90">
        <f t="shared" si="0"/>
        <v>0.76</v>
      </c>
      <c r="E10" s="92"/>
      <c r="F10" s="92"/>
      <c r="G10" s="92"/>
      <c r="H10" s="75">
        <v>0.55000000000000004</v>
      </c>
      <c r="I10" s="71"/>
      <c r="J10" s="90">
        <f t="shared" si="1"/>
        <v>0.28600000000000003</v>
      </c>
      <c r="P10" s="16">
        <v>37.24</v>
      </c>
      <c r="Q10" s="16">
        <f t="shared" si="2"/>
        <v>37.24</v>
      </c>
      <c r="S10" s="16">
        <v>0</v>
      </c>
      <c r="T10" s="16">
        <f t="shared" si="3"/>
        <v>0</v>
      </c>
    </row>
    <row r="11" spans="2:23" x14ac:dyDescent="0.25">
      <c r="B11" s="75">
        <v>1</v>
      </c>
      <c r="C11" s="71" t="s">
        <v>17</v>
      </c>
      <c r="D11" s="90">
        <f t="shared" si="0"/>
        <v>0.76</v>
      </c>
      <c r="E11" s="92"/>
      <c r="F11" s="92"/>
      <c r="G11" s="92"/>
      <c r="H11" s="75">
        <v>0.55000000000000004</v>
      </c>
      <c r="I11" s="71"/>
      <c r="J11" s="90">
        <f t="shared" si="1"/>
        <v>0.28600000000000003</v>
      </c>
      <c r="P11" s="16">
        <v>37.24</v>
      </c>
      <c r="Q11" s="16">
        <f t="shared" si="2"/>
        <v>37.24</v>
      </c>
      <c r="S11" s="16">
        <v>0</v>
      </c>
      <c r="T11" s="16">
        <f t="shared" si="3"/>
        <v>0</v>
      </c>
    </row>
    <row r="12" spans="2:23" x14ac:dyDescent="0.25">
      <c r="B12" s="75">
        <v>0.85</v>
      </c>
      <c r="C12" s="71" t="s">
        <v>22</v>
      </c>
      <c r="D12" s="90">
        <f t="shared" si="0"/>
        <v>0.64600000000000002</v>
      </c>
      <c r="E12" s="92"/>
      <c r="F12" s="92"/>
      <c r="G12" s="92"/>
      <c r="H12" s="75">
        <v>0.55000000000000004</v>
      </c>
      <c r="I12" s="71"/>
      <c r="J12" s="90">
        <f t="shared" si="1"/>
        <v>0.28600000000000003</v>
      </c>
      <c r="P12" s="16">
        <v>21.31</v>
      </c>
      <c r="Q12" s="16">
        <f t="shared" si="2"/>
        <v>18.113499999999998</v>
      </c>
      <c r="S12" s="16">
        <v>0</v>
      </c>
      <c r="T12" s="16">
        <f t="shared" si="3"/>
        <v>0</v>
      </c>
    </row>
    <row r="13" spans="2:23" x14ac:dyDescent="0.25">
      <c r="B13" s="75">
        <v>0.85</v>
      </c>
      <c r="C13" s="71" t="s">
        <v>23</v>
      </c>
      <c r="D13" s="90">
        <f t="shared" si="0"/>
        <v>0.64600000000000002</v>
      </c>
      <c r="E13" s="92"/>
      <c r="F13" s="92"/>
      <c r="G13" s="92"/>
      <c r="H13" s="75">
        <v>0.55000000000000004</v>
      </c>
      <c r="I13" s="71"/>
      <c r="J13" s="90">
        <f t="shared" si="1"/>
        <v>0.28600000000000003</v>
      </c>
      <c r="P13" s="16">
        <v>39.880000000000003</v>
      </c>
      <c r="Q13" s="16">
        <f t="shared" si="2"/>
        <v>33.898000000000003</v>
      </c>
      <c r="S13" s="16">
        <v>0</v>
      </c>
      <c r="T13" s="16">
        <f t="shared" si="3"/>
        <v>0</v>
      </c>
    </row>
    <row r="14" spans="2:23" x14ac:dyDescent="0.25">
      <c r="B14" s="75">
        <v>0.85</v>
      </c>
      <c r="C14" s="71" t="s">
        <v>23</v>
      </c>
      <c r="D14" s="90">
        <f t="shared" si="0"/>
        <v>0.64600000000000002</v>
      </c>
      <c r="E14" s="92"/>
      <c r="F14" s="92"/>
      <c r="G14" s="92"/>
      <c r="H14" s="75">
        <v>0.55000000000000004</v>
      </c>
      <c r="I14" s="71"/>
      <c r="J14" s="90">
        <f t="shared" si="1"/>
        <v>0.28600000000000003</v>
      </c>
      <c r="P14" s="16">
        <v>39.880000000000003</v>
      </c>
      <c r="Q14" s="16">
        <f t="shared" si="2"/>
        <v>33.898000000000003</v>
      </c>
      <c r="S14" s="16">
        <v>0</v>
      </c>
      <c r="T14" s="16">
        <f t="shared" si="3"/>
        <v>0</v>
      </c>
    </row>
    <row r="15" spans="2:23" ht="15.75" thickBot="1" x14ac:dyDescent="0.3">
      <c r="B15" s="77">
        <v>0.85</v>
      </c>
      <c r="C15" s="78"/>
      <c r="D15" s="91">
        <f t="shared" si="0"/>
        <v>0.64600000000000002</v>
      </c>
      <c r="E15" s="92"/>
      <c r="F15" s="92"/>
      <c r="G15" s="92"/>
      <c r="H15" s="77">
        <v>0.55000000000000004</v>
      </c>
      <c r="I15" s="78"/>
      <c r="J15" s="91">
        <f t="shared" si="1"/>
        <v>0.28600000000000003</v>
      </c>
      <c r="P15" s="16">
        <v>0</v>
      </c>
      <c r="Q15" s="16">
        <f t="shared" si="2"/>
        <v>0</v>
      </c>
      <c r="S15" s="16">
        <v>0</v>
      </c>
      <c r="T15" s="16">
        <f t="shared" si="3"/>
        <v>0</v>
      </c>
    </row>
    <row r="16" spans="2:23" s="76" customFormat="1" ht="25.5" customHeight="1" x14ac:dyDescent="0.25">
      <c r="B16" s="79"/>
      <c r="C16" s="80" t="s">
        <v>9</v>
      </c>
      <c r="D16" s="81"/>
      <c r="E16" s="81"/>
      <c r="F16" s="82"/>
      <c r="H16" s="79"/>
      <c r="I16" s="80" t="s">
        <v>10</v>
      </c>
      <c r="J16" s="81"/>
      <c r="K16" s="81"/>
      <c r="L16" s="81"/>
      <c r="M16" s="82"/>
    </row>
    <row r="17" spans="2:27" ht="15.75" thickBot="1" x14ac:dyDescent="0.3">
      <c r="B17" s="83"/>
      <c r="C17" s="84"/>
      <c r="D17" s="84"/>
      <c r="E17" s="84"/>
      <c r="F17" s="85"/>
      <c r="H17" s="83"/>
      <c r="I17" s="84"/>
      <c r="J17" s="84"/>
      <c r="K17" s="84"/>
      <c r="L17" s="84"/>
      <c r="M17" s="85"/>
    </row>
    <row r="18" spans="2:27" x14ac:dyDescent="0.25">
      <c r="B18" s="83"/>
      <c r="C18" s="84"/>
      <c r="D18" s="84"/>
      <c r="E18" s="84"/>
      <c r="F18" s="85"/>
      <c r="H18" s="83"/>
      <c r="I18" s="84"/>
      <c r="J18" s="84"/>
      <c r="K18" s="84"/>
      <c r="L18" s="84"/>
      <c r="M18" s="85"/>
      <c r="O18" s="12"/>
      <c r="P18" s="93"/>
      <c r="Q18" s="94"/>
    </row>
    <row r="19" spans="2:27" x14ac:dyDescent="0.25">
      <c r="B19" s="83"/>
      <c r="C19" s="84"/>
      <c r="D19" s="84"/>
      <c r="E19" s="84"/>
      <c r="F19" s="85"/>
      <c r="H19" s="83"/>
      <c r="I19" s="84"/>
      <c r="J19" s="84"/>
      <c r="K19" s="84"/>
      <c r="L19" s="84"/>
      <c r="M19" s="85"/>
      <c r="O19" s="12"/>
      <c r="P19" s="95"/>
      <c r="Q19" s="96"/>
      <c r="Y19" t="s">
        <v>173</v>
      </c>
    </row>
    <row r="20" spans="2:27" x14ac:dyDescent="0.25">
      <c r="B20" s="83"/>
      <c r="C20" s="84"/>
      <c r="D20" s="84"/>
      <c r="E20" s="84"/>
      <c r="F20" s="85"/>
      <c r="H20" s="83"/>
      <c r="I20" s="84"/>
      <c r="J20" s="84"/>
      <c r="K20" s="84"/>
      <c r="L20" s="84"/>
      <c r="M20" s="85"/>
      <c r="O20" s="12"/>
      <c r="P20" s="95"/>
      <c r="Q20" s="96"/>
      <c r="Y20" t="s">
        <v>172</v>
      </c>
    </row>
    <row r="21" spans="2:27" x14ac:dyDescent="0.25">
      <c r="B21" s="83"/>
      <c r="C21" s="84"/>
      <c r="D21" s="84"/>
      <c r="E21" s="84"/>
      <c r="F21" s="85"/>
      <c r="H21" s="83"/>
      <c r="I21" s="84"/>
      <c r="J21" s="84"/>
      <c r="K21" s="84"/>
      <c r="L21" s="84"/>
      <c r="M21" s="85"/>
      <c r="O21" s="12"/>
      <c r="P21" s="95"/>
      <c r="Q21" s="96"/>
      <c r="Y21" t="s">
        <v>171</v>
      </c>
    </row>
    <row r="22" spans="2:27" x14ac:dyDescent="0.25">
      <c r="B22" s="83"/>
      <c r="C22" s="84"/>
      <c r="D22" s="84"/>
      <c r="E22" s="84"/>
      <c r="F22" s="85"/>
      <c r="H22" s="83"/>
      <c r="I22" s="84"/>
      <c r="J22" s="84"/>
      <c r="K22" s="84"/>
      <c r="L22" s="84"/>
      <c r="M22" s="85"/>
      <c r="O22" s="12"/>
      <c r="P22" s="95"/>
      <c r="Q22" s="96"/>
    </row>
    <row r="23" spans="2:27" x14ac:dyDescent="0.25">
      <c r="B23" s="83"/>
      <c r="C23" s="84"/>
      <c r="D23" s="84"/>
      <c r="E23" s="84"/>
      <c r="F23" s="85"/>
      <c r="H23" s="83"/>
      <c r="I23" s="84"/>
      <c r="J23" s="84"/>
      <c r="K23" s="84"/>
      <c r="L23" s="84"/>
      <c r="M23" s="85"/>
      <c r="O23" s="100"/>
      <c r="P23" s="97"/>
      <c r="Q23" s="96"/>
    </row>
    <row r="24" spans="2:27" x14ac:dyDescent="0.25">
      <c r="B24" s="83"/>
      <c r="C24" s="84"/>
      <c r="D24" s="84"/>
      <c r="E24" s="84"/>
      <c r="F24" s="85"/>
      <c r="H24" s="83"/>
      <c r="I24" s="84"/>
      <c r="J24" s="84"/>
      <c r="K24" s="84"/>
      <c r="L24" s="84"/>
      <c r="M24" s="85"/>
      <c r="O24" s="100"/>
      <c r="P24" s="97"/>
      <c r="Q24" s="96"/>
    </row>
    <row r="25" spans="2:27" x14ac:dyDescent="0.25">
      <c r="B25" s="83"/>
      <c r="C25" s="84"/>
      <c r="D25" s="84"/>
      <c r="E25" s="84"/>
      <c r="F25" s="85"/>
      <c r="H25" s="83"/>
      <c r="I25" s="84"/>
      <c r="J25" s="84"/>
      <c r="K25" s="84"/>
      <c r="L25" s="84"/>
      <c r="M25" s="85"/>
      <c r="O25" s="100"/>
      <c r="P25" s="97"/>
      <c r="Q25" s="96"/>
    </row>
    <row r="26" spans="2:27" x14ac:dyDescent="0.25">
      <c r="B26" s="83"/>
      <c r="C26" s="84"/>
      <c r="D26" s="84"/>
      <c r="E26" s="84"/>
      <c r="F26" s="85"/>
      <c r="H26" s="83"/>
      <c r="I26" s="84"/>
      <c r="J26" s="84"/>
      <c r="K26" s="84"/>
      <c r="L26" s="84"/>
      <c r="M26" s="85"/>
      <c r="O26" s="12"/>
      <c r="P26" s="95"/>
      <c r="Q26" s="96"/>
    </row>
    <row r="27" spans="2:27" ht="15.75" thickBot="1" x14ac:dyDescent="0.3">
      <c r="B27" s="83"/>
      <c r="C27" s="84"/>
      <c r="D27" s="84"/>
      <c r="E27" s="84"/>
      <c r="F27" s="85"/>
      <c r="H27" s="83"/>
      <c r="I27" s="84"/>
      <c r="J27" s="84"/>
      <c r="K27" s="84"/>
      <c r="L27" s="84"/>
      <c r="M27" s="85"/>
      <c r="O27" s="12"/>
      <c r="P27" s="98"/>
      <c r="Q27" s="99"/>
    </row>
    <row r="28" spans="2:27" x14ac:dyDescent="0.25">
      <c r="B28" s="83"/>
      <c r="C28" s="84"/>
      <c r="D28" s="84"/>
      <c r="E28" s="84"/>
      <c r="F28" s="85"/>
      <c r="H28" s="83"/>
      <c r="I28" s="84"/>
      <c r="J28" s="84"/>
      <c r="K28" s="84"/>
      <c r="L28" s="84"/>
      <c r="M28" s="85"/>
      <c r="Z28" t="s">
        <v>174</v>
      </c>
    </row>
    <row r="29" spans="2:27" x14ac:dyDescent="0.25">
      <c r="B29" s="83"/>
      <c r="C29" s="84"/>
      <c r="D29" s="84"/>
      <c r="E29" s="84"/>
      <c r="F29" s="85"/>
      <c r="H29" s="83"/>
      <c r="I29" s="84"/>
      <c r="J29" s="84"/>
      <c r="K29" s="84"/>
      <c r="L29" s="84"/>
      <c r="M29" s="85"/>
    </row>
    <row r="30" spans="2:27" x14ac:dyDescent="0.25">
      <c r="B30" s="83"/>
      <c r="C30" s="84"/>
      <c r="D30" s="84"/>
      <c r="E30" s="84"/>
      <c r="F30" s="85"/>
      <c r="H30" s="83"/>
      <c r="I30" s="84"/>
      <c r="J30" s="84"/>
      <c r="K30" s="84"/>
      <c r="L30" s="84"/>
      <c r="M30" s="85"/>
      <c r="AA30" t="s">
        <v>175</v>
      </c>
    </row>
    <row r="31" spans="2:27" x14ac:dyDescent="0.25">
      <c r="B31" s="83"/>
      <c r="C31" s="84"/>
      <c r="D31" s="84"/>
      <c r="E31" s="84"/>
      <c r="F31" s="85"/>
      <c r="H31" s="83"/>
      <c r="I31" s="84"/>
      <c r="J31" s="84"/>
      <c r="K31" s="84"/>
      <c r="L31" s="84"/>
      <c r="M31" s="85"/>
    </row>
    <row r="32" spans="2:27" x14ac:dyDescent="0.25">
      <c r="B32" s="83"/>
      <c r="C32" s="84"/>
      <c r="D32" s="84"/>
      <c r="E32" s="84"/>
      <c r="F32" s="85"/>
      <c r="H32" s="83"/>
      <c r="I32" s="84"/>
      <c r="J32" s="84"/>
      <c r="K32" s="84"/>
      <c r="L32" s="84"/>
      <c r="M32" s="85"/>
    </row>
    <row r="33" spans="2:13" x14ac:dyDescent="0.25">
      <c r="B33" s="83"/>
      <c r="C33" s="84"/>
      <c r="D33" s="84"/>
      <c r="E33" s="84"/>
      <c r="F33" s="85"/>
      <c r="H33" s="83"/>
      <c r="I33" s="84"/>
      <c r="J33" s="84"/>
      <c r="K33" s="84"/>
      <c r="L33" s="84"/>
      <c r="M33" s="85"/>
    </row>
    <row r="34" spans="2:13" x14ac:dyDescent="0.25">
      <c r="B34" s="83"/>
      <c r="C34" s="84"/>
      <c r="D34" s="84"/>
      <c r="E34" s="84"/>
      <c r="F34" s="85"/>
      <c r="H34" s="83"/>
      <c r="I34" s="84"/>
      <c r="J34" s="84"/>
      <c r="K34" s="84"/>
      <c r="L34" s="84"/>
      <c r="M34" s="85"/>
    </row>
    <row r="35" spans="2:13" x14ac:dyDescent="0.25">
      <c r="B35" s="83"/>
      <c r="C35" s="84"/>
      <c r="D35" s="84"/>
      <c r="E35" s="84"/>
      <c r="F35" s="85"/>
      <c r="H35" s="83"/>
      <c r="I35" s="84"/>
      <c r="J35" s="84"/>
      <c r="K35" s="84"/>
      <c r="L35" s="84"/>
      <c r="M35" s="85"/>
    </row>
    <row r="36" spans="2:13" x14ac:dyDescent="0.25">
      <c r="B36" s="83"/>
      <c r="C36" s="84"/>
      <c r="D36" s="84"/>
      <c r="E36" s="84"/>
      <c r="F36" s="85"/>
      <c r="H36" s="83"/>
      <c r="I36" s="84"/>
      <c r="J36" s="84"/>
      <c r="K36" s="84"/>
      <c r="L36" s="84"/>
      <c r="M36" s="85"/>
    </row>
    <row r="37" spans="2:13" x14ac:dyDescent="0.25">
      <c r="B37" s="83"/>
      <c r="C37" s="84"/>
      <c r="D37" s="84"/>
      <c r="E37" s="84"/>
      <c r="F37" s="85"/>
      <c r="H37" s="83"/>
      <c r="I37" s="84"/>
      <c r="J37" s="84"/>
      <c r="K37" s="84"/>
      <c r="L37" s="84"/>
      <c r="M37" s="85"/>
    </row>
    <row r="38" spans="2:13" x14ac:dyDescent="0.25">
      <c r="B38" s="83"/>
      <c r="C38" s="84"/>
      <c r="D38" s="84"/>
      <c r="E38" s="84"/>
      <c r="F38" s="85"/>
      <c r="H38" s="83"/>
      <c r="I38" s="84"/>
      <c r="J38" s="84"/>
      <c r="K38" s="84"/>
      <c r="L38" s="84"/>
      <c r="M38" s="85"/>
    </row>
    <row r="39" spans="2:13" x14ac:dyDescent="0.25">
      <c r="B39" s="83"/>
      <c r="C39" s="84"/>
      <c r="D39" s="84"/>
      <c r="E39" s="84"/>
      <c r="F39" s="85"/>
      <c r="H39" s="83"/>
      <c r="I39" s="84"/>
      <c r="J39" s="84"/>
      <c r="K39" s="84"/>
      <c r="L39" s="84"/>
      <c r="M39" s="85"/>
    </row>
    <row r="40" spans="2:13" x14ac:dyDescent="0.25">
      <c r="B40" s="83"/>
      <c r="C40" s="84"/>
      <c r="D40" s="84"/>
      <c r="E40" s="84"/>
      <c r="F40" s="85"/>
      <c r="H40" s="83"/>
      <c r="I40" s="84"/>
      <c r="J40" s="84"/>
      <c r="K40" s="84"/>
      <c r="L40" s="84"/>
      <c r="M40" s="85"/>
    </row>
    <row r="41" spans="2:13" x14ac:dyDescent="0.25">
      <c r="B41" s="83"/>
      <c r="C41" s="84"/>
      <c r="D41" s="84"/>
      <c r="E41" s="84"/>
      <c r="F41" s="85"/>
      <c r="H41" s="83"/>
      <c r="I41" s="84"/>
      <c r="J41" s="84"/>
      <c r="K41" s="84"/>
      <c r="L41" s="84"/>
      <c r="M41" s="85"/>
    </row>
    <row r="42" spans="2:13" x14ac:dyDescent="0.25">
      <c r="B42" s="83"/>
      <c r="C42" s="84"/>
      <c r="D42" s="84"/>
      <c r="E42" s="84"/>
      <c r="F42" s="85"/>
      <c r="H42" s="83"/>
      <c r="I42" s="84"/>
      <c r="J42" s="84"/>
      <c r="K42" s="84"/>
      <c r="L42" s="84"/>
      <c r="M42" s="85"/>
    </row>
    <row r="43" spans="2:13" x14ac:dyDescent="0.25">
      <c r="B43" s="83"/>
      <c r="C43" s="84"/>
      <c r="D43" s="84"/>
      <c r="E43" s="84"/>
      <c r="F43" s="85"/>
      <c r="H43" s="83"/>
      <c r="I43" s="84"/>
      <c r="J43" s="84"/>
      <c r="K43" s="84"/>
      <c r="L43" s="84"/>
      <c r="M43" s="85"/>
    </row>
    <row r="44" spans="2:13" x14ac:dyDescent="0.25">
      <c r="B44" s="83"/>
      <c r="C44" s="84"/>
      <c r="D44" s="84"/>
      <c r="E44" s="84"/>
      <c r="F44" s="85"/>
      <c r="H44" s="83"/>
      <c r="I44" s="84"/>
      <c r="J44" s="84"/>
      <c r="K44" s="84"/>
      <c r="L44" s="84"/>
      <c r="M44" s="85"/>
    </row>
    <row r="45" spans="2:13" ht="15.75" thickBot="1" x14ac:dyDescent="0.3">
      <c r="B45" s="86"/>
      <c r="C45" s="87"/>
      <c r="D45" s="87"/>
      <c r="E45" s="87"/>
      <c r="F45" s="88"/>
      <c r="H45" s="83"/>
      <c r="I45" s="84"/>
      <c r="J45" s="84"/>
      <c r="K45" s="84"/>
      <c r="L45" s="84"/>
      <c r="M45" s="85"/>
    </row>
    <row r="46" spans="2:13" x14ac:dyDescent="0.25">
      <c r="H46" s="83"/>
      <c r="I46" s="84"/>
      <c r="J46" s="84"/>
      <c r="K46" s="84"/>
      <c r="L46" s="84"/>
      <c r="M46" s="85"/>
    </row>
    <row r="47" spans="2:13" x14ac:dyDescent="0.25">
      <c r="H47" s="83"/>
      <c r="I47" s="84"/>
      <c r="J47" s="84"/>
      <c r="K47" s="84"/>
      <c r="L47" s="84"/>
      <c r="M47" s="85"/>
    </row>
    <row r="48" spans="2:13" x14ac:dyDescent="0.25">
      <c r="H48" s="83"/>
      <c r="I48" s="84"/>
      <c r="J48" s="84"/>
      <c r="K48" s="84"/>
      <c r="L48" s="84"/>
      <c r="M48" s="85"/>
    </row>
    <row r="49" spans="8:13" x14ac:dyDescent="0.25">
      <c r="H49" s="83"/>
      <c r="I49" s="84"/>
      <c r="J49" s="84"/>
      <c r="K49" s="84"/>
      <c r="L49" s="84"/>
      <c r="M49" s="85"/>
    </row>
    <row r="50" spans="8:13" x14ac:dyDescent="0.25">
      <c r="H50" s="83"/>
      <c r="I50" s="84"/>
      <c r="J50" s="84"/>
      <c r="K50" s="84"/>
      <c r="L50" s="84"/>
      <c r="M50" s="85"/>
    </row>
    <row r="51" spans="8:13" x14ac:dyDescent="0.25">
      <c r="H51" s="83"/>
      <c r="I51" s="84"/>
      <c r="J51" s="84"/>
      <c r="K51" s="84"/>
      <c r="L51" s="84"/>
      <c r="M51" s="85"/>
    </row>
    <row r="52" spans="8:13" x14ac:dyDescent="0.25">
      <c r="H52" s="83"/>
      <c r="I52" s="84"/>
      <c r="J52" s="84"/>
      <c r="K52" s="84"/>
      <c r="L52" s="84"/>
      <c r="M52" s="85"/>
    </row>
    <row r="53" spans="8:13" x14ac:dyDescent="0.25">
      <c r="H53" s="83"/>
      <c r="I53" s="84"/>
      <c r="J53" s="84"/>
      <c r="K53" s="84"/>
      <c r="L53" s="84"/>
      <c r="M53" s="85"/>
    </row>
    <row r="54" spans="8:13" x14ac:dyDescent="0.25">
      <c r="H54" s="83"/>
      <c r="I54" s="84"/>
      <c r="J54" s="84"/>
      <c r="K54" s="84"/>
      <c r="L54" s="84"/>
      <c r="M54" s="85"/>
    </row>
    <row r="55" spans="8:13" x14ac:dyDescent="0.25">
      <c r="H55" s="83"/>
      <c r="I55" s="84"/>
      <c r="J55" s="84"/>
      <c r="K55" s="84"/>
      <c r="L55" s="84"/>
      <c r="M55" s="85"/>
    </row>
    <row r="56" spans="8:13" x14ac:dyDescent="0.25">
      <c r="H56" s="83"/>
      <c r="I56" s="84"/>
      <c r="J56" s="84"/>
      <c r="K56" s="84"/>
      <c r="L56" s="84"/>
      <c r="M56" s="85"/>
    </row>
    <row r="57" spans="8:13" x14ac:dyDescent="0.25">
      <c r="H57" s="83"/>
      <c r="I57" s="84"/>
      <c r="J57" s="84"/>
      <c r="K57" s="84"/>
      <c r="L57" s="84"/>
      <c r="M57" s="85"/>
    </row>
    <row r="58" spans="8:13" ht="15.75" thickBot="1" x14ac:dyDescent="0.3">
      <c r="H58" s="86"/>
      <c r="I58" s="87"/>
      <c r="J58" s="87"/>
      <c r="K58" s="87"/>
      <c r="L58" s="87"/>
      <c r="M58" s="88"/>
    </row>
  </sheetData>
  <conditionalFormatting sqref="B6:B15">
    <cfRule type="cellIs" dxfId="11" priority="10" stopIfTrue="1" operator="greaterThanOrEqual">
      <formula>0.75</formula>
    </cfRule>
    <cfRule type="cellIs" dxfId="10" priority="11" stopIfTrue="1" operator="between">
      <formula>0.74</formula>
      <formula>0.5</formula>
    </cfRule>
    <cfRule type="cellIs" dxfId="9" priority="12" stopIfTrue="1" operator="lessThan">
      <formula>0.5</formula>
    </cfRule>
  </conditionalFormatting>
  <conditionalFormatting sqref="H6:H15">
    <cfRule type="cellIs" dxfId="8" priority="7" stopIfTrue="1" operator="greaterThanOrEqual">
      <formula>0.75</formula>
    </cfRule>
    <cfRule type="cellIs" dxfId="7" priority="8" stopIfTrue="1" operator="between">
      <formula>0.74</formula>
      <formula>0.5</formula>
    </cfRule>
    <cfRule type="cellIs" dxfId="6" priority="9" stopIfTrue="1" operator="lessThan">
      <formula>0.5</formula>
    </cfRule>
  </conditionalFormatting>
  <conditionalFormatting sqref="J6:J15">
    <cfRule type="cellIs" dxfId="5" priority="4" stopIfTrue="1" operator="greaterThanOrEqual">
      <formula>0.75</formula>
    </cfRule>
    <cfRule type="cellIs" dxfId="4" priority="5" stopIfTrue="1" operator="between">
      <formula>0.74</formula>
      <formula>0.5</formula>
    </cfRule>
    <cfRule type="cellIs" dxfId="3" priority="6" stopIfTrue="1" operator="lessThan">
      <formula>0.5</formula>
    </cfRule>
  </conditionalFormatting>
  <conditionalFormatting sqref="D6:D15">
    <cfRule type="cellIs" dxfId="2" priority="1" stopIfTrue="1" operator="greaterThanOrEqual">
      <formula>0.75</formula>
    </cfRule>
    <cfRule type="cellIs" dxfId="1" priority="2" stopIfTrue="1" operator="between">
      <formula>0.74</formula>
      <formula>0.5</formula>
    </cfRule>
    <cfRule type="cellIs" dxfId="0" priority="3" stopIfTrue="1" operator="lessThan">
      <formula>0.5</formula>
    </cfRule>
  </conditionalFormatting>
  <dataValidations disablePrompts="1" count="1">
    <dataValidation type="decimal" allowBlank="1" showInputMessage="1" sqref="H6:H15 B6:B15" xr:uid="{00000000-0002-0000-0200-000000000000}">
      <formula1>0</formula1>
      <formula2>100</formula2>
    </dataValidation>
  </dataValidations>
  <pageMargins left="0.7" right="0.7" top="0.75" bottom="0.75" header="0.3" footer="0.3"/>
  <pageSetup scale="57" orientation="landscape" r:id="rId1"/>
  <drawing r:id="rId2"/>
  <legacyDrawing r:id="rId3"/>
  <controls>
    <mc:AlternateContent xmlns:mc="http://schemas.openxmlformats.org/markup-compatibility/2006">
      <mc:Choice Requires="x14">
        <control shapeId="12289" r:id="rId4" name="Go">
          <controlPr defaultSize="0" print="0" autoFill="0" autoLine="0" r:id="rId5">
            <anchor moveWithCells="1">
              <from>
                <xdr:col>5</xdr:col>
                <xdr:colOff>57150</xdr:colOff>
                <xdr:row>3</xdr:row>
                <xdr:rowOff>1295400</xdr:rowOff>
              </from>
              <to>
                <xdr:col>5</xdr:col>
                <xdr:colOff>628650</xdr:colOff>
                <xdr:row>3</xdr:row>
                <xdr:rowOff>1962150</xdr:rowOff>
              </to>
            </anchor>
          </controlPr>
        </control>
      </mc:Choice>
      <mc:Fallback>
        <control shapeId="12289" r:id="rId4" name="Go"/>
      </mc:Fallback>
    </mc:AlternateContent>
    <mc:AlternateContent xmlns:mc="http://schemas.openxmlformats.org/markup-compatibility/2006">
      <mc:Choice Requires="x14">
        <control shapeId="12290" r:id="rId6" name="Hasty_A">
          <controlPr defaultSize="0" print="0" autoLine="0" r:id="rId7">
            <anchor moveWithCells="1">
              <from>
                <xdr:col>0</xdr:col>
                <xdr:colOff>95250</xdr:colOff>
                <xdr:row>2</xdr:row>
                <xdr:rowOff>57150</xdr:rowOff>
              </from>
              <to>
                <xdr:col>1</xdr:col>
                <xdr:colOff>819150</xdr:colOff>
                <xdr:row>3</xdr:row>
                <xdr:rowOff>57150</xdr:rowOff>
              </to>
            </anchor>
          </controlPr>
        </control>
      </mc:Choice>
      <mc:Fallback>
        <control shapeId="12290" r:id="rId6" name="Hasty_A"/>
      </mc:Fallback>
    </mc:AlternateContent>
    <mc:AlternateContent xmlns:mc="http://schemas.openxmlformats.org/markup-compatibility/2006">
      <mc:Choice Requires="x14">
        <control shapeId="12291" r:id="rId8" name="Hasty_D">
          <controlPr defaultSize="0" print="0" autoLine="0" r:id="rId9">
            <anchor moveWithCells="1">
              <from>
                <xdr:col>0</xdr:col>
                <xdr:colOff>95250</xdr:colOff>
                <xdr:row>3</xdr:row>
                <xdr:rowOff>66675</xdr:rowOff>
              </from>
              <to>
                <xdr:col>1</xdr:col>
                <xdr:colOff>819150</xdr:colOff>
                <xdr:row>3</xdr:row>
                <xdr:rowOff>371475</xdr:rowOff>
              </to>
            </anchor>
          </controlPr>
        </control>
      </mc:Choice>
      <mc:Fallback>
        <control shapeId="12291" r:id="rId8" name="Hasty_D"/>
      </mc:Fallback>
    </mc:AlternateContent>
    <mc:AlternateContent xmlns:mc="http://schemas.openxmlformats.org/markup-compatibility/2006">
      <mc:Choice Requires="x14">
        <control shapeId="12292" r:id="rId10" name="Delib_A">
          <controlPr defaultSize="0" print="0" autoLine="0" r:id="rId11">
            <anchor moveWithCells="1">
              <from>
                <xdr:col>0</xdr:col>
                <xdr:colOff>95250</xdr:colOff>
                <xdr:row>3</xdr:row>
                <xdr:rowOff>400050</xdr:rowOff>
              </from>
              <to>
                <xdr:col>1</xdr:col>
                <xdr:colOff>819150</xdr:colOff>
                <xdr:row>3</xdr:row>
                <xdr:rowOff>914400</xdr:rowOff>
              </to>
            </anchor>
          </controlPr>
        </control>
      </mc:Choice>
      <mc:Fallback>
        <control shapeId="12292" r:id="rId10" name="Delib_A"/>
      </mc:Fallback>
    </mc:AlternateContent>
    <mc:AlternateContent xmlns:mc="http://schemas.openxmlformats.org/markup-compatibility/2006">
      <mc:Choice Requires="x14">
        <control shapeId="12293" r:id="rId12" name="Delib_D">
          <controlPr defaultSize="0" print="0" autoLine="0" r:id="rId13">
            <anchor moveWithCells="1">
              <from>
                <xdr:col>0</xdr:col>
                <xdr:colOff>95250</xdr:colOff>
                <xdr:row>3</xdr:row>
                <xdr:rowOff>933450</xdr:rowOff>
              </from>
              <to>
                <xdr:col>1</xdr:col>
                <xdr:colOff>819150</xdr:colOff>
                <xdr:row>3</xdr:row>
                <xdr:rowOff>1438275</xdr:rowOff>
              </to>
            </anchor>
          </controlPr>
        </control>
      </mc:Choice>
      <mc:Fallback>
        <control shapeId="12293" r:id="rId12" name="Delib_D"/>
      </mc:Fallback>
    </mc:AlternateContent>
    <mc:AlternateContent xmlns:mc="http://schemas.openxmlformats.org/markup-compatibility/2006">
      <mc:Choice Requires="x14">
        <control shapeId="12294" r:id="rId14" name="Meeting">
          <controlPr defaultSize="0" print="0" autoLine="0" r:id="rId15">
            <anchor moveWithCells="1">
              <from>
                <xdr:col>0</xdr:col>
                <xdr:colOff>95250</xdr:colOff>
                <xdr:row>3</xdr:row>
                <xdr:rowOff>1466850</xdr:rowOff>
              </from>
              <to>
                <xdr:col>1</xdr:col>
                <xdr:colOff>819150</xdr:colOff>
                <xdr:row>3</xdr:row>
                <xdr:rowOff>1971675</xdr:rowOff>
              </to>
            </anchor>
          </controlPr>
        </control>
      </mc:Choice>
      <mc:Fallback>
        <control shapeId="12294" r:id="rId14" name="Meeting"/>
      </mc:Fallback>
    </mc:AlternateContent>
    <mc:AlternateContent xmlns:mc="http://schemas.openxmlformats.org/markup-compatibility/2006">
      <mc:Choice Requires="x14">
        <control shapeId="12295" r:id="rId16" name="Hasty_AE">
          <controlPr defaultSize="0" print="0" autoLine="0" r:id="rId17">
            <anchor moveWithCells="1">
              <from>
                <xdr:col>10</xdr:col>
                <xdr:colOff>47625</xdr:colOff>
                <xdr:row>2</xdr:row>
                <xdr:rowOff>28575</xdr:rowOff>
              </from>
              <to>
                <xdr:col>12</xdr:col>
                <xdr:colOff>85725</xdr:colOff>
                <xdr:row>3</xdr:row>
                <xdr:rowOff>57150</xdr:rowOff>
              </to>
            </anchor>
          </controlPr>
        </control>
      </mc:Choice>
      <mc:Fallback>
        <control shapeId="12295" r:id="rId16" name="Hasty_AE"/>
      </mc:Fallback>
    </mc:AlternateContent>
    <mc:AlternateContent xmlns:mc="http://schemas.openxmlformats.org/markup-compatibility/2006">
      <mc:Choice Requires="x14">
        <control shapeId="12296" r:id="rId18" name="Hasty_DE">
          <controlPr defaultSize="0" print="0" autoLine="0" r:id="rId19">
            <anchor moveWithCells="1">
              <from>
                <xdr:col>10</xdr:col>
                <xdr:colOff>47625</xdr:colOff>
                <xdr:row>3</xdr:row>
                <xdr:rowOff>114300</xdr:rowOff>
              </from>
              <to>
                <xdr:col>12</xdr:col>
                <xdr:colOff>95250</xdr:colOff>
                <xdr:row>3</xdr:row>
                <xdr:rowOff>447675</xdr:rowOff>
              </to>
            </anchor>
          </controlPr>
        </control>
      </mc:Choice>
      <mc:Fallback>
        <control shapeId="12296" r:id="rId18" name="Hasty_DE"/>
      </mc:Fallback>
    </mc:AlternateContent>
    <mc:AlternateContent xmlns:mc="http://schemas.openxmlformats.org/markup-compatibility/2006">
      <mc:Choice Requires="x14">
        <control shapeId="12297" r:id="rId20" name="Delib_AE">
          <controlPr defaultSize="0" print="0" autoLine="0" r:id="rId21">
            <anchor moveWithCells="1">
              <from>
                <xdr:col>10</xdr:col>
                <xdr:colOff>47625</xdr:colOff>
                <xdr:row>3</xdr:row>
                <xdr:rowOff>504825</xdr:rowOff>
              </from>
              <to>
                <xdr:col>12</xdr:col>
                <xdr:colOff>114300</xdr:colOff>
                <xdr:row>3</xdr:row>
                <xdr:rowOff>962025</xdr:rowOff>
              </to>
            </anchor>
          </controlPr>
        </control>
      </mc:Choice>
      <mc:Fallback>
        <control shapeId="12297" r:id="rId20" name="Delib_AE"/>
      </mc:Fallback>
    </mc:AlternateContent>
    <mc:AlternateContent xmlns:mc="http://schemas.openxmlformats.org/markup-compatibility/2006">
      <mc:Choice Requires="x14">
        <control shapeId="12298" r:id="rId22" name="Delib_DE">
          <controlPr defaultSize="0" print="0" autoLine="0" r:id="rId23">
            <anchor moveWithCells="1">
              <from>
                <xdr:col>10</xdr:col>
                <xdr:colOff>47625</xdr:colOff>
                <xdr:row>3</xdr:row>
                <xdr:rowOff>1009650</xdr:rowOff>
              </from>
              <to>
                <xdr:col>12</xdr:col>
                <xdr:colOff>104775</xdr:colOff>
                <xdr:row>3</xdr:row>
                <xdr:rowOff>1457325</xdr:rowOff>
              </to>
            </anchor>
          </controlPr>
        </control>
      </mc:Choice>
      <mc:Fallback>
        <control shapeId="12298" r:id="rId22" name="Delib_DE"/>
      </mc:Fallback>
    </mc:AlternateContent>
    <mc:AlternateContent xmlns:mc="http://schemas.openxmlformats.org/markup-compatibility/2006">
      <mc:Choice Requires="x14">
        <control shapeId="12299" r:id="rId24" name="Meeting_E">
          <controlPr defaultSize="0" print="0" autoLine="0" r:id="rId25">
            <anchor moveWithCells="1">
              <from>
                <xdr:col>10</xdr:col>
                <xdr:colOff>47625</xdr:colOff>
                <xdr:row>3</xdr:row>
                <xdr:rowOff>1514475</xdr:rowOff>
              </from>
              <to>
                <xdr:col>12</xdr:col>
                <xdr:colOff>104775</xdr:colOff>
                <xdr:row>3</xdr:row>
                <xdr:rowOff>1971675</xdr:rowOff>
              </to>
            </anchor>
          </controlPr>
        </control>
      </mc:Choice>
      <mc:Fallback>
        <control shapeId="12299" r:id="rId24" name="Meeting_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BP31"/>
  <sheetViews>
    <sheetView zoomScaleNormal="100" workbookViewId="0">
      <pane ySplit="3" topLeftCell="A4" activePane="bottomLeft" state="frozen"/>
      <selection activeCell="B7" sqref="B7"/>
      <selection pane="bottomLeft" activeCell="B7" sqref="B7"/>
    </sheetView>
  </sheetViews>
  <sheetFormatPr defaultColWidth="9.140625" defaultRowHeight="12.75" x14ac:dyDescent="0.2"/>
  <cols>
    <col min="1" max="1" width="45.7109375" style="63" customWidth="1"/>
    <col min="2" max="17" width="4.7109375" style="63" customWidth="1"/>
    <col min="18" max="67" width="4.7109375" style="60" customWidth="1"/>
    <col min="68" max="16384" width="9.140625" style="60"/>
  </cols>
  <sheetData>
    <row r="1" spans="1:68" s="19" customFormat="1" ht="15.75" x14ac:dyDescent="0.25">
      <c r="A1" s="18" t="s">
        <v>24</v>
      </c>
      <c r="B1" s="205" t="s">
        <v>25</v>
      </c>
      <c r="C1" s="205"/>
      <c r="D1" s="195" t="s">
        <v>26</v>
      </c>
      <c r="E1" s="196"/>
      <c r="F1" s="195" t="s">
        <v>27</v>
      </c>
      <c r="G1" s="196"/>
      <c r="H1" s="195" t="s">
        <v>28</v>
      </c>
      <c r="I1" s="196"/>
      <c r="J1" s="197" t="s">
        <v>29</v>
      </c>
      <c r="K1" s="205"/>
      <c r="L1" s="195" t="s">
        <v>30</v>
      </c>
      <c r="M1" s="196"/>
      <c r="N1" s="202" t="s">
        <v>31</v>
      </c>
      <c r="O1" s="203"/>
      <c r="P1" s="200" t="s">
        <v>32</v>
      </c>
      <c r="Q1" s="201"/>
      <c r="R1" s="204" t="s">
        <v>33</v>
      </c>
      <c r="S1" s="201"/>
      <c r="T1" s="200" t="s">
        <v>34</v>
      </c>
      <c r="U1" s="201"/>
      <c r="V1" s="200" t="s">
        <v>35</v>
      </c>
      <c r="W1" s="201"/>
      <c r="X1" s="195" t="s">
        <v>36</v>
      </c>
      <c r="Y1" s="196"/>
      <c r="Z1" s="197" t="s">
        <v>37</v>
      </c>
      <c r="AA1" s="198"/>
      <c r="AB1" s="195" t="s">
        <v>38</v>
      </c>
      <c r="AC1" s="196"/>
      <c r="AD1" s="195" t="s">
        <v>39</v>
      </c>
      <c r="AE1" s="196"/>
      <c r="AF1" s="195" t="s">
        <v>40</v>
      </c>
      <c r="AG1" s="196"/>
      <c r="AH1" s="200" t="s">
        <v>41</v>
      </c>
      <c r="AI1" s="201"/>
      <c r="AJ1" s="195" t="s">
        <v>42</v>
      </c>
      <c r="AK1" s="196"/>
      <c r="AL1" s="195" t="s">
        <v>43</v>
      </c>
      <c r="AM1" s="196"/>
      <c r="AN1" s="195" t="s">
        <v>44</v>
      </c>
      <c r="AO1" s="196"/>
      <c r="AP1" s="197" t="s">
        <v>45</v>
      </c>
      <c r="AQ1" s="198"/>
      <c r="AR1" s="195" t="s">
        <v>46</v>
      </c>
      <c r="AS1" s="196"/>
      <c r="AT1" s="200" t="s">
        <v>47</v>
      </c>
      <c r="AU1" s="201"/>
      <c r="AV1" s="200" t="s">
        <v>48</v>
      </c>
      <c r="AW1" s="201"/>
      <c r="AX1" s="200" t="s">
        <v>49</v>
      </c>
      <c r="AY1" s="201"/>
      <c r="AZ1" s="200" t="s">
        <v>50</v>
      </c>
      <c r="BA1" s="201"/>
      <c r="BB1" s="200" t="s">
        <v>51</v>
      </c>
      <c r="BC1" s="201"/>
      <c r="BD1" s="195" t="s">
        <v>52</v>
      </c>
      <c r="BE1" s="196"/>
      <c r="BF1" s="197" t="s">
        <v>53</v>
      </c>
      <c r="BG1" s="198"/>
      <c r="BH1" s="195" t="s">
        <v>54</v>
      </c>
      <c r="BI1" s="196"/>
      <c r="BJ1" s="195" t="s">
        <v>55</v>
      </c>
      <c r="BK1" s="196"/>
      <c r="BL1" s="195" t="s">
        <v>56</v>
      </c>
      <c r="BM1" s="196"/>
      <c r="BN1" s="197" t="s">
        <v>57</v>
      </c>
      <c r="BO1" s="198"/>
    </row>
    <row r="2" spans="1:68" s="19" customFormat="1" ht="15.75" x14ac:dyDescent="0.25">
      <c r="A2" s="20" t="s">
        <v>58</v>
      </c>
      <c r="B2" s="199">
        <f>1/5</f>
        <v>0.2</v>
      </c>
      <c r="C2" s="194"/>
      <c r="D2" s="191">
        <f>1/4.57</f>
        <v>0.21881838074398249</v>
      </c>
      <c r="E2" s="192"/>
      <c r="F2" s="191">
        <f>1/4.5</f>
        <v>0.22222222222222221</v>
      </c>
      <c r="G2" s="192"/>
      <c r="H2" s="191">
        <f>1/4.25</f>
        <v>0.23529411764705882</v>
      </c>
      <c r="I2" s="192"/>
      <c r="J2" s="193">
        <f>1/4</f>
        <v>0.25</v>
      </c>
      <c r="K2" s="194"/>
      <c r="L2" s="191">
        <f>1/3.75</f>
        <v>0.26666666666666666</v>
      </c>
      <c r="M2" s="192"/>
      <c r="N2" s="193">
        <f>1/3.5</f>
        <v>0.2857142857142857</v>
      </c>
      <c r="O2" s="194"/>
      <c r="P2" s="191">
        <f>1/3.25</f>
        <v>0.30769230769230771</v>
      </c>
      <c r="Q2" s="192"/>
      <c r="R2" s="193">
        <f>1/3</f>
        <v>0.33333333333333331</v>
      </c>
      <c r="S2" s="194"/>
      <c r="T2" s="191">
        <f>1/2.75</f>
        <v>0.36363636363636365</v>
      </c>
      <c r="U2" s="192"/>
      <c r="V2" s="193">
        <f>1/2.5</f>
        <v>0.4</v>
      </c>
      <c r="W2" s="194"/>
      <c r="X2" s="191">
        <f>1/2.25</f>
        <v>0.44444444444444442</v>
      </c>
      <c r="Y2" s="192"/>
      <c r="Z2" s="193">
        <f>1/2</f>
        <v>0.5</v>
      </c>
      <c r="AA2" s="194"/>
      <c r="AB2" s="191">
        <f>1/1.75</f>
        <v>0.5714285714285714</v>
      </c>
      <c r="AC2" s="192"/>
      <c r="AD2" s="187">
        <f>1/1.5</f>
        <v>0.66666666666666663</v>
      </c>
      <c r="AE2" s="188"/>
      <c r="AF2" s="187">
        <f>1/1.25</f>
        <v>0.8</v>
      </c>
      <c r="AG2" s="188"/>
      <c r="AH2" s="189">
        <v>1</v>
      </c>
      <c r="AI2" s="190"/>
      <c r="AJ2" s="187">
        <v>1.25</v>
      </c>
      <c r="AK2" s="188"/>
      <c r="AL2" s="187">
        <v>1.5</v>
      </c>
      <c r="AM2" s="188"/>
      <c r="AN2" s="187">
        <v>1.75</v>
      </c>
      <c r="AO2" s="188"/>
      <c r="AP2" s="189">
        <v>2</v>
      </c>
      <c r="AQ2" s="190"/>
      <c r="AR2" s="187">
        <v>2.25</v>
      </c>
      <c r="AS2" s="188"/>
      <c r="AT2" s="189">
        <v>2.5</v>
      </c>
      <c r="AU2" s="190"/>
      <c r="AV2" s="187">
        <v>2.75</v>
      </c>
      <c r="AW2" s="188"/>
      <c r="AX2" s="189">
        <v>3</v>
      </c>
      <c r="AY2" s="190"/>
      <c r="AZ2" s="187">
        <v>3.25</v>
      </c>
      <c r="BA2" s="188"/>
      <c r="BB2" s="189">
        <v>3.5</v>
      </c>
      <c r="BC2" s="190"/>
      <c r="BD2" s="187">
        <v>3.75</v>
      </c>
      <c r="BE2" s="188"/>
      <c r="BF2" s="189">
        <v>4</v>
      </c>
      <c r="BG2" s="190"/>
      <c r="BH2" s="187">
        <v>4.25</v>
      </c>
      <c r="BI2" s="188"/>
      <c r="BJ2" s="187">
        <v>4.5</v>
      </c>
      <c r="BK2" s="188"/>
      <c r="BL2" s="187">
        <v>4.75</v>
      </c>
      <c r="BM2" s="188"/>
      <c r="BN2" s="189">
        <v>5</v>
      </c>
      <c r="BO2" s="190"/>
    </row>
    <row r="3" spans="1:68" s="22" customFormat="1" ht="15.75" thickBot="1" x14ac:dyDescent="0.25">
      <c r="A3" s="21" t="s">
        <v>59</v>
      </c>
      <c r="B3" s="180">
        <f>1/6</f>
        <v>0.16666666666666666</v>
      </c>
      <c r="C3" s="181"/>
      <c r="D3" s="185">
        <f>1/5.75</f>
        <v>0.17391304347826086</v>
      </c>
      <c r="E3" s="186"/>
      <c r="F3" s="185">
        <f>1/5.5</f>
        <v>0.18181818181818182</v>
      </c>
      <c r="G3" s="186"/>
      <c r="H3" s="185">
        <f>1/5.25</f>
        <v>0.19047619047619047</v>
      </c>
      <c r="I3" s="186"/>
      <c r="J3" s="180">
        <f>1/5</f>
        <v>0.2</v>
      </c>
      <c r="K3" s="181"/>
      <c r="L3" s="185">
        <f>1/4.75</f>
        <v>0.21052631578947367</v>
      </c>
      <c r="M3" s="186"/>
      <c r="N3" s="180">
        <f>1/4.5</f>
        <v>0.22222222222222221</v>
      </c>
      <c r="O3" s="181"/>
      <c r="P3" s="185">
        <f>1/4.25</f>
        <v>0.23529411764705882</v>
      </c>
      <c r="Q3" s="186"/>
      <c r="R3" s="180">
        <f>1/4</f>
        <v>0.25</v>
      </c>
      <c r="S3" s="181"/>
      <c r="T3" s="185">
        <f>1/3.75</f>
        <v>0.26666666666666666</v>
      </c>
      <c r="U3" s="186"/>
      <c r="V3" s="180">
        <f>1/3.5</f>
        <v>0.2857142857142857</v>
      </c>
      <c r="W3" s="181"/>
      <c r="X3" s="185">
        <f>1/3.25</f>
        <v>0.30769230769230771</v>
      </c>
      <c r="Y3" s="186"/>
      <c r="Z3" s="180">
        <f>1/3</f>
        <v>0.33333333333333331</v>
      </c>
      <c r="AA3" s="181"/>
      <c r="AB3" s="185">
        <f>1/2.75</f>
        <v>0.36363636363636365</v>
      </c>
      <c r="AC3" s="186"/>
      <c r="AD3" s="185">
        <f>1/2.5</f>
        <v>0.4</v>
      </c>
      <c r="AE3" s="186"/>
      <c r="AF3" s="185">
        <f>1/2.25</f>
        <v>0.44444444444444442</v>
      </c>
      <c r="AG3" s="186"/>
      <c r="AH3" s="180">
        <f>1/2</f>
        <v>0.5</v>
      </c>
      <c r="AI3" s="181"/>
      <c r="AJ3" s="185">
        <f>1.25/2.25</f>
        <v>0.55555555555555558</v>
      </c>
      <c r="AK3" s="186"/>
      <c r="AL3" s="185">
        <f>1.5/2.5</f>
        <v>0.6</v>
      </c>
      <c r="AM3" s="186"/>
      <c r="AN3" s="185">
        <f>1.75/2.75</f>
        <v>0.63636363636363635</v>
      </c>
      <c r="AO3" s="186"/>
      <c r="AP3" s="180">
        <f>2/3</f>
        <v>0.66666666666666663</v>
      </c>
      <c r="AQ3" s="181"/>
      <c r="AR3" s="185">
        <f>2.25/3.25</f>
        <v>0.69230769230769229</v>
      </c>
      <c r="AS3" s="186"/>
      <c r="AT3" s="180">
        <f>2.5/3.5</f>
        <v>0.7142857142857143</v>
      </c>
      <c r="AU3" s="181"/>
      <c r="AV3" s="185">
        <f>2.75/3.75</f>
        <v>0.73333333333333328</v>
      </c>
      <c r="AW3" s="186"/>
      <c r="AX3" s="180">
        <f>3/4</f>
        <v>0.75</v>
      </c>
      <c r="AY3" s="181"/>
      <c r="AZ3" s="185">
        <f>3.25/4.25</f>
        <v>0.76470588235294112</v>
      </c>
      <c r="BA3" s="186"/>
      <c r="BB3" s="180">
        <f>3.5/4.5</f>
        <v>0.77777777777777779</v>
      </c>
      <c r="BC3" s="181"/>
      <c r="BD3" s="185">
        <f>3.75/4.75</f>
        <v>0.78947368421052633</v>
      </c>
      <c r="BE3" s="186"/>
      <c r="BF3" s="180">
        <f>4/5</f>
        <v>0.8</v>
      </c>
      <c r="BG3" s="181"/>
      <c r="BH3" s="185">
        <f>4.25/5.25</f>
        <v>0.80952380952380953</v>
      </c>
      <c r="BI3" s="186"/>
      <c r="BJ3" s="185">
        <f>4.5/5.5</f>
        <v>0.81818181818181823</v>
      </c>
      <c r="BK3" s="186"/>
      <c r="BL3" s="185">
        <f>4.75/5.75</f>
        <v>0.82608695652173914</v>
      </c>
      <c r="BM3" s="186"/>
      <c r="BN3" s="180">
        <f>5/6</f>
        <v>0.83333333333333337</v>
      </c>
      <c r="BO3" s="181"/>
    </row>
    <row r="4" spans="1:68" s="29" customFormat="1" ht="24.95" customHeight="1" x14ac:dyDescent="0.25">
      <c r="A4" s="23" t="s">
        <v>60</v>
      </c>
      <c r="B4" s="24" t="s">
        <v>61</v>
      </c>
      <c r="C4" s="25" t="s">
        <v>61</v>
      </c>
      <c r="D4" s="26" t="s">
        <v>61</v>
      </c>
      <c r="E4" s="25" t="s">
        <v>61</v>
      </c>
      <c r="F4" s="24" t="s">
        <v>61</v>
      </c>
      <c r="G4" s="25" t="s">
        <v>61</v>
      </c>
      <c r="H4" s="24" t="s">
        <v>61</v>
      </c>
      <c r="I4" s="27" t="s">
        <v>61</v>
      </c>
      <c r="J4" s="24" t="s">
        <v>61</v>
      </c>
      <c r="K4" s="25" t="s">
        <v>61</v>
      </c>
      <c r="L4" s="26" t="s">
        <v>61</v>
      </c>
      <c r="M4" s="27" t="s">
        <v>61</v>
      </c>
      <c r="N4" s="24" t="s">
        <v>61</v>
      </c>
      <c r="O4" s="25" t="s">
        <v>61</v>
      </c>
      <c r="P4" s="26" t="s">
        <v>61</v>
      </c>
      <c r="Q4" s="25" t="s">
        <v>61</v>
      </c>
      <c r="R4" s="26" t="s">
        <v>61</v>
      </c>
      <c r="S4" s="27" t="s">
        <v>61</v>
      </c>
      <c r="T4" s="24" t="s">
        <v>61</v>
      </c>
      <c r="U4" s="25" t="s">
        <v>61</v>
      </c>
      <c r="V4" s="24" t="s">
        <v>61</v>
      </c>
      <c r="W4" s="25" t="s">
        <v>61</v>
      </c>
      <c r="X4" s="24" t="s">
        <v>61</v>
      </c>
      <c r="Y4" s="25" t="s">
        <v>61</v>
      </c>
      <c r="Z4" s="26" t="s">
        <v>61</v>
      </c>
      <c r="AA4" s="25" t="s">
        <v>61</v>
      </c>
      <c r="AB4" s="24" t="s">
        <v>61</v>
      </c>
      <c r="AC4" s="25" t="s">
        <v>61</v>
      </c>
      <c r="AD4" s="24" t="s">
        <v>61</v>
      </c>
      <c r="AE4" s="25" t="s">
        <v>61</v>
      </c>
      <c r="AF4" s="24" t="s">
        <v>61</v>
      </c>
      <c r="AG4" s="25" t="s">
        <v>61</v>
      </c>
      <c r="AH4" s="24" t="s">
        <v>61</v>
      </c>
      <c r="AI4" s="25" t="s">
        <v>61</v>
      </c>
      <c r="AJ4" s="24" t="s">
        <v>61</v>
      </c>
      <c r="AK4" s="25" t="s">
        <v>61</v>
      </c>
      <c r="AL4" s="24" t="s">
        <v>61</v>
      </c>
      <c r="AM4" s="25" t="s">
        <v>61</v>
      </c>
      <c r="AN4" s="24" t="s">
        <v>61</v>
      </c>
      <c r="AO4" s="25" t="s">
        <v>61</v>
      </c>
      <c r="AP4" s="24" t="s">
        <v>61</v>
      </c>
      <c r="AQ4" s="27" t="s">
        <v>61</v>
      </c>
      <c r="AR4" s="24" t="s">
        <v>61</v>
      </c>
      <c r="AS4" s="25" t="s">
        <v>61</v>
      </c>
      <c r="AT4" s="24" t="s">
        <v>61</v>
      </c>
      <c r="AU4" s="27" t="s">
        <v>61</v>
      </c>
      <c r="AV4" s="24" t="s">
        <v>61</v>
      </c>
      <c r="AW4" s="25" t="s">
        <v>61</v>
      </c>
      <c r="AX4" s="24" t="s">
        <v>61</v>
      </c>
      <c r="AY4" s="25" t="s">
        <v>61</v>
      </c>
      <c r="AZ4" s="24" t="s">
        <v>61</v>
      </c>
      <c r="BA4" s="27" t="s">
        <v>61</v>
      </c>
      <c r="BB4" s="24" t="s">
        <v>61</v>
      </c>
      <c r="BC4" s="25" t="s">
        <v>61</v>
      </c>
      <c r="BD4" s="26" t="s">
        <v>61</v>
      </c>
      <c r="BE4" s="25" t="s">
        <v>61</v>
      </c>
      <c r="BF4" s="26" t="s">
        <v>61</v>
      </c>
      <c r="BG4" s="25" t="s">
        <v>61</v>
      </c>
      <c r="BH4" s="24" t="s">
        <v>61</v>
      </c>
      <c r="BI4" s="25" t="s">
        <v>61</v>
      </c>
      <c r="BJ4" s="24" t="s">
        <v>61</v>
      </c>
      <c r="BK4" s="25" t="s">
        <v>61</v>
      </c>
      <c r="BL4" s="24" t="s">
        <v>61</v>
      </c>
      <c r="BM4" s="25" t="s">
        <v>61</v>
      </c>
      <c r="BN4" s="26" t="s">
        <v>61</v>
      </c>
      <c r="BO4" s="25" t="s">
        <v>61</v>
      </c>
      <c r="BP4" s="28"/>
    </row>
    <row r="5" spans="1:68" s="29" customFormat="1" ht="24.95" customHeight="1" x14ac:dyDescent="0.25">
      <c r="A5" s="30" t="s">
        <v>62</v>
      </c>
      <c r="B5" s="31">
        <v>0.99</v>
      </c>
      <c r="C5" s="32">
        <v>0.01</v>
      </c>
      <c r="D5" s="33">
        <v>0.93</v>
      </c>
      <c r="E5" s="32">
        <v>0.02</v>
      </c>
      <c r="F5" s="31">
        <v>0.93</v>
      </c>
      <c r="G5" s="32">
        <v>0.02</v>
      </c>
      <c r="H5" s="31">
        <v>0.89</v>
      </c>
      <c r="I5" s="34">
        <v>0.03</v>
      </c>
      <c r="J5" s="31">
        <v>0.86</v>
      </c>
      <c r="K5" s="32">
        <v>0.04</v>
      </c>
      <c r="L5" s="33">
        <v>0.83</v>
      </c>
      <c r="M5" s="34">
        <v>0.05</v>
      </c>
      <c r="N5" s="31">
        <v>0.8</v>
      </c>
      <c r="O5" s="32">
        <v>0.06</v>
      </c>
      <c r="P5" s="33">
        <v>0.76</v>
      </c>
      <c r="Q5" s="32">
        <v>0.06</v>
      </c>
      <c r="R5" s="33">
        <v>0.73</v>
      </c>
      <c r="S5" s="34">
        <v>7.0000000000000007E-2</v>
      </c>
      <c r="T5" s="31">
        <v>0.69</v>
      </c>
      <c r="U5" s="32">
        <v>0.09</v>
      </c>
      <c r="V5" s="31">
        <v>0.65</v>
      </c>
      <c r="W5" s="32">
        <v>0.1</v>
      </c>
      <c r="X5" s="31">
        <v>0.61</v>
      </c>
      <c r="Y5" s="32">
        <v>0.11</v>
      </c>
      <c r="Z5" s="33">
        <v>0.56999999999999995</v>
      </c>
      <c r="AA5" s="32">
        <v>0.12</v>
      </c>
      <c r="AB5" s="31">
        <v>0.53</v>
      </c>
      <c r="AC5" s="32">
        <v>0.14000000000000001</v>
      </c>
      <c r="AD5" s="31">
        <v>0.48</v>
      </c>
      <c r="AE5" s="32">
        <v>0.16</v>
      </c>
      <c r="AF5" s="31">
        <v>0.43</v>
      </c>
      <c r="AG5" s="32">
        <v>0.18</v>
      </c>
      <c r="AH5" s="31">
        <v>0.38</v>
      </c>
      <c r="AI5" s="32">
        <v>0.21</v>
      </c>
      <c r="AJ5" s="31">
        <v>0.33</v>
      </c>
      <c r="AK5" s="32">
        <v>0.24</v>
      </c>
      <c r="AL5" s="31">
        <v>0.3</v>
      </c>
      <c r="AM5" s="32">
        <v>0.26</v>
      </c>
      <c r="AN5" s="31">
        <v>0.27</v>
      </c>
      <c r="AO5" s="32">
        <v>0.28000000000000003</v>
      </c>
      <c r="AP5" s="31">
        <v>0.25</v>
      </c>
      <c r="AQ5" s="34">
        <v>0.3</v>
      </c>
      <c r="AR5" s="31">
        <v>0.23</v>
      </c>
      <c r="AS5" s="32">
        <v>0.31</v>
      </c>
      <c r="AT5" s="31">
        <v>0.22</v>
      </c>
      <c r="AU5" s="34">
        <v>0.33</v>
      </c>
      <c r="AV5" s="31">
        <v>0.21</v>
      </c>
      <c r="AW5" s="32">
        <v>0.34</v>
      </c>
      <c r="AX5" s="35">
        <v>0.2</v>
      </c>
      <c r="AY5" s="36">
        <v>0.35</v>
      </c>
      <c r="AZ5" s="31">
        <v>0.19</v>
      </c>
      <c r="BA5" s="34">
        <v>0.36</v>
      </c>
      <c r="BB5" s="31">
        <v>0.18</v>
      </c>
      <c r="BC5" s="32">
        <v>0.37</v>
      </c>
      <c r="BD5" s="33">
        <v>0.17</v>
      </c>
      <c r="BE5" s="32">
        <v>0.38</v>
      </c>
      <c r="BF5" s="33">
        <v>0.16</v>
      </c>
      <c r="BG5" s="32">
        <v>0.38</v>
      </c>
      <c r="BH5" s="31">
        <v>0.16</v>
      </c>
      <c r="BI5" s="32">
        <v>0.39</v>
      </c>
      <c r="BJ5" s="31">
        <v>0.15</v>
      </c>
      <c r="BK5" s="32">
        <v>0.4</v>
      </c>
      <c r="BL5" s="31">
        <v>0.15</v>
      </c>
      <c r="BM5" s="32">
        <v>0.4</v>
      </c>
      <c r="BN5" s="33">
        <v>0.14000000000000001</v>
      </c>
      <c r="BO5" s="32">
        <v>0.41</v>
      </c>
      <c r="BP5" s="28"/>
    </row>
    <row r="6" spans="1:68" s="43" customFormat="1" ht="24.95" customHeight="1" x14ac:dyDescent="0.25">
      <c r="A6" s="37" t="s">
        <v>63</v>
      </c>
      <c r="B6" s="38" t="s">
        <v>61</v>
      </c>
      <c r="C6" s="39" t="s">
        <v>61</v>
      </c>
      <c r="D6" s="40" t="s">
        <v>61</v>
      </c>
      <c r="E6" s="39" t="s">
        <v>61</v>
      </c>
      <c r="F6" s="38" t="s">
        <v>61</v>
      </c>
      <c r="G6" s="39" t="s">
        <v>61</v>
      </c>
      <c r="H6" s="38" t="s">
        <v>61</v>
      </c>
      <c r="I6" s="41" t="s">
        <v>61</v>
      </c>
      <c r="J6" s="38" t="s">
        <v>61</v>
      </c>
      <c r="K6" s="39" t="s">
        <v>61</v>
      </c>
      <c r="L6" s="40" t="s">
        <v>61</v>
      </c>
      <c r="M6" s="41" t="s">
        <v>61</v>
      </c>
      <c r="N6" s="38" t="s">
        <v>61</v>
      </c>
      <c r="O6" s="39" t="s">
        <v>61</v>
      </c>
      <c r="P6" s="40" t="s">
        <v>61</v>
      </c>
      <c r="Q6" s="39" t="s">
        <v>61</v>
      </c>
      <c r="R6" s="40" t="s">
        <v>61</v>
      </c>
      <c r="S6" s="41" t="s">
        <v>61</v>
      </c>
      <c r="T6" s="38" t="s">
        <v>61</v>
      </c>
      <c r="U6" s="39" t="s">
        <v>61</v>
      </c>
      <c r="V6" s="38" t="s">
        <v>61</v>
      </c>
      <c r="W6" s="39" t="s">
        <v>61</v>
      </c>
      <c r="X6" s="38" t="s">
        <v>61</v>
      </c>
      <c r="Y6" s="39" t="s">
        <v>61</v>
      </c>
      <c r="Z6" s="40" t="s">
        <v>61</v>
      </c>
      <c r="AA6" s="39" t="s">
        <v>61</v>
      </c>
      <c r="AB6" s="38" t="s">
        <v>61</v>
      </c>
      <c r="AC6" s="39" t="s">
        <v>61</v>
      </c>
      <c r="AD6" s="38" t="s">
        <v>61</v>
      </c>
      <c r="AE6" s="39" t="s">
        <v>61</v>
      </c>
      <c r="AF6" s="38" t="s">
        <v>61</v>
      </c>
      <c r="AG6" s="39" t="s">
        <v>61</v>
      </c>
      <c r="AH6" s="38" t="s">
        <v>61</v>
      </c>
      <c r="AI6" s="39" t="s">
        <v>61</v>
      </c>
      <c r="AJ6" s="38" t="s">
        <v>61</v>
      </c>
      <c r="AK6" s="39" t="s">
        <v>61</v>
      </c>
      <c r="AL6" s="38" t="s">
        <v>61</v>
      </c>
      <c r="AM6" s="39" t="s">
        <v>61</v>
      </c>
      <c r="AN6" s="38" t="s">
        <v>61</v>
      </c>
      <c r="AO6" s="39" t="s">
        <v>61</v>
      </c>
      <c r="AP6" s="38" t="s">
        <v>61</v>
      </c>
      <c r="AQ6" s="41" t="s">
        <v>61</v>
      </c>
      <c r="AR6" s="38" t="s">
        <v>61</v>
      </c>
      <c r="AS6" s="39" t="s">
        <v>61</v>
      </c>
      <c r="AT6" s="38" t="s">
        <v>61</v>
      </c>
      <c r="AU6" s="41" t="s">
        <v>61</v>
      </c>
      <c r="AV6" s="38" t="s">
        <v>61</v>
      </c>
      <c r="AW6" s="39" t="s">
        <v>61</v>
      </c>
      <c r="AX6" s="38" t="s">
        <v>61</v>
      </c>
      <c r="AY6" s="39" t="s">
        <v>61</v>
      </c>
      <c r="AZ6" s="38" t="s">
        <v>61</v>
      </c>
      <c r="BA6" s="41" t="s">
        <v>61</v>
      </c>
      <c r="BB6" s="38" t="s">
        <v>61</v>
      </c>
      <c r="BC6" s="39" t="s">
        <v>61</v>
      </c>
      <c r="BD6" s="40" t="s">
        <v>61</v>
      </c>
      <c r="BE6" s="39" t="s">
        <v>61</v>
      </c>
      <c r="BF6" s="40" t="s">
        <v>61</v>
      </c>
      <c r="BG6" s="39" t="s">
        <v>61</v>
      </c>
      <c r="BH6" s="38" t="s">
        <v>61</v>
      </c>
      <c r="BI6" s="39" t="s">
        <v>61</v>
      </c>
      <c r="BJ6" s="38" t="s">
        <v>61</v>
      </c>
      <c r="BK6" s="39" t="s">
        <v>61</v>
      </c>
      <c r="BL6" s="38" t="s">
        <v>61</v>
      </c>
      <c r="BM6" s="39" t="s">
        <v>61</v>
      </c>
      <c r="BN6" s="40" t="s">
        <v>61</v>
      </c>
      <c r="BO6" s="39" t="s">
        <v>61</v>
      </c>
      <c r="BP6" s="42"/>
    </row>
    <row r="7" spans="1:68" s="43" customFormat="1" ht="24.95" customHeight="1" x14ac:dyDescent="0.25">
      <c r="A7" s="30" t="s">
        <v>64</v>
      </c>
      <c r="B7" s="31">
        <v>0.59</v>
      </c>
      <c r="C7" s="32">
        <v>0.11</v>
      </c>
      <c r="D7" s="33">
        <v>0.56000000000000005</v>
      </c>
      <c r="E7" s="32">
        <v>0.12</v>
      </c>
      <c r="F7" s="31">
        <v>0.56000000000000005</v>
      </c>
      <c r="G7" s="32">
        <v>0.12</v>
      </c>
      <c r="H7" s="31">
        <v>0.54</v>
      </c>
      <c r="I7" s="34">
        <v>0.13</v>
      </c>
      <c r="J7" s="31">
        <v>0.52</v>
      </c>
      <c r="K7" s="32">
        <v>0.14000000000000001</v>
      </c>
      <c r="L7" s="33">
        <v>0.5</v>
      </c>
      <c r="M7" s="34">
        <v>0.15</v>
      </c>
      <c r="N7" s="31">
        <v>0.48</v>
      </c>
      <c r="O7" s="32">
        <v>0.16</v>
      </c>
      <c r="P7" s="33">
        <v>0.46</v>
      </c>
      <c r="Q7" s="32">
        <v>0.16</v>
      </c>
      <c r="R7" s="33">
        <v>0.44</v>
      </c>
      <c r="S7" s="34">
        <v>0.17</v>
      </c>
      <c r="T7" s="31">
        <v>0.41</v>
      </c>
      <c r="U7" s="32">
        <v>0.19</v>
      </c>
      <c r="V7" s="31">
        <v>0.39</v>
      </c>
      <c r="W7" s="32">
        <v>0.2</v>
      </c>
      <c r="X7" s="31">
        <v>0.37</v>
      </c>
      <c r="Y7" s="32">
        <v>0.21</v>
      </c>
      <c r="Z7" s="33">
        <v>0.34</v>
      </c>
      <c r="AA7" s="32">
        <v>0.22</v>
      </c>
      <c r="AB7" s="31">
        <v>0.32</v>
      </c>
      <c r="AC7" s="32">
        <v>0.24</v>
      </c>
      <c r="AD7" s="31">
        <v>0.28999999999999998</v>
      </c>
      <c r="AE7" s="32">
        <v>0.26</v>
      </c>
      <c r="AF7" s="31">
        <v>0.26</v>
      </c>
      <c r="AG7" s="32">
        <v>0.28000000000000003</v>
      </c>
      <c r="AH7" s="31">
        <v>0.23</v>
      </c>
      <c r="AI7" s="32">
        <v>0.31</v>
      </c>
      <c r="AJ7" s="35">
        <v>0.2</v>
      </c>
      <c r="AK7" s="36">
        <v>0.34</v>
      </c>
      <c r="AL7" s="31">
        <v>0.18</v>
      </c>
      <c r="AM7" s="32">
        <v>0.36</v>
      </c>
      <c r="AN7" s="31">
        <v>0.16</v>
      </c>
      <c r="AO7" s="32">
        <v>0.38</v>
      </c>
      <c r="AP7" s="31">
        <v>0.15</v>
      </c>
      <c r="AQ7" s="34">
        <v>0.4</v>
      </c>
      <c r="AR7" s="31">
        <v>0.14000000000000001</v>
      </c>
      <c r="AS7" s="32">
        <v>0.41</v>
      </c>
      <c r="AT7" s="31">
        <v>0.13</v>
      </c>
      <c r="AU7" s="32">
        <v>0.43</v>
      </c>
      <c r="AV7" s="31">
        <v>0.12</v>
      </c>
      <c r="AW7" s="32">
        <v>0.44</v>
      </c>
      <c r="AX7" s="31">
        <v>0.12</v>
      </c>
      <c r="AY7" s="32">
        <v>0.45</v>
      </c>
      <c r="AZ7" s="31">
        <v>0.11</v>
      </c>
      <c r="BA7" s="34">
        <v>0.46</v>
      </c>
      <c r="BB7" s="31">
        <v>0.11</v>
      </c>
      <c r="BC7" s="32">
        <v>0.47</v>
      </c>
      <c r="BD7" s="33">
        <v>0.1</v>
      </c>
      <c r="BE7" s="32">
        <v>0.48</v>
      </c>
      <c r="BF7" s="33">
        <v>0.1</v>
      </c>
      <c r="BG7" s="32">
        <v>0.48</v>
      </c>
      <c r="BH7" s="31">
        <v>0.1</v>
      </c>
      <c r="BI7" s="32">
        <v>0.49</v>
      </c>
      <c r="BJ7" s="31">
        <v>0.09</v>
      </c>
      <c r="BK7" s="32">
        <v>0.5</v>
      </c>
      <c r="BL7" s="31">
        <v>0.09</v>
      </c>
      <c r="BM7" s="32">
        <v>0.5</v>
      </c>
      <c r="BN7" s="33">
        <v>0.09</v>
      </c>
      <c r="BO7" s="32">
        <v>0.51</v>
      </c>
      <c r="BP7" s="42"/>
    </row>
    <row r="8" spans="1:68" s="43" customFormat="1" ht="24.95" customHeight="1" x14ac:dyDescent="0.25">
      <c r="A8" s="30" t="s">
        <v>65</v>
      </c>
      <c r="B8" s="31">
        <v>0.41</v>
      </c>
      <c r="C8" s="32">
        <v>0.14000000000000001</v>
      </c>
      <c r="D8" s="33">
        <v>0.4</v>
      </c>
      <c r="E8" s="32">
        <v>0.15</v>
      </c>
      <c r="F8" s="31">
        <v>0.4</v>
      </c>
      <c r="G8" s="32">
        <v>0.15</v>
      </c>
      <c r="H8" s="31">
        <v>0.39</v>
      </c>
      <c r="I8" s="34">
        <v>0.16</v>
      </c>
      <c r="J8" s="31">
        <v>0.38</v>
      </c>
      <c r="K8" s="32">
        <v>0.16</v>
      </c>
      <c r="L8" s="33">
        <v>0.38</v>
      </c>
      <c r="M8" s="34">
        <v>0.17</v>
      </c>
      <c r="N8" s="31">
        <v>0.37</v>
      </c>
      <c r="O8" s="32">
        <v>0.18</v>
      </c>
      <c r="P8" s="33">
        <v>0.36</v>
      </c>
      <c r="Q8" s="32">
        <v>0.19</v>
      </c>
      <c r="R8" s="33">
        <v>0.35</v>
      </c>
      <c r="S8" s="32">
        <v>0.2</v>
      </c>
      <c r="T8" s="31">
        <v>0.34</v>
      </c>
      <c r="U8" s="32">
        <v>0.21</v>
      </c>
      <c r="V8" s="31">
        <v>0.33</v>
      </c>
      <c r="W8" s="32">
        <v>0.22</v>
      </c>
      <c r="X8" s="31">
        <v>0.31</v>
      </c>
      <c r="Y8" s="32">
        <v>0.23</v>
      </c>
      <c r="Z8" s="33">
        <v>0.3</v>
      </c>
      <c r="AA8" s="32">
        <v>0.25</v>
      </c>
      <c r="AB8" s="31">
        <v>0.28000000000000003</v>
      </c>
      <c r="AC8" s="32">
        <v>0.27</v>
      </c>
      <c r="AD8" s="31">
        <v>0.26</v>
      </c>
      <c r="AE8" s="32">
        <v>0.3</v>
      </c>
      <c r="AF8" s="31">
        <v>0.24</v>
      </c>
      <c r="AG8" s="32">
        <v>0.33</v>
      </c>
      <c r="AH8" s="35">
        <v>0.21</v>
      </c>
      <c r="AI8" s="36">
        <v>0.38</v>
      </c>
      <c r="AJ8" s="31">
        <v>0.18</v>
      </c>
      <c r="AK8" s="32">
        <v>0.43</v>
      </c>
      <c r="AL8" s="31">
        <v>0.16</v>
      </c>
      <c r="AM8" s="32">
        <v>0.48</v>
      </c>
      <c r="AN8" s="31">
        <v>0.14000000000000001</v>
      </c>
      <c r="AO8" s="32">
        <v>0.53</v>
      </c>
      <c r="AP8" s="31">
        <v>0.12</v>
      </c>
      <c r="AQ8" s="34">
        <v>0.56999999999999995</v>
      </c>
      <c r="AR8" s="31">
        <v>0.11</v>
      </c>
      <c r="AS8" s="32">
        <v>0.61</v>
      </c>
      <c r="AT8" s="31">
        <v>0.1</v>
      </c>
      <c r="AU8" s="34">
        <v>0.65</v>
      </c>
      <c r="AV8" s="31">
        <v>0.09</v>
      </c>
      <c r="AW8" s="32">
        <v>0.69</v>
      </c>
      <c r="AX8" s="31">
        <v>7.0000000000000007E-2</v>
      </c>
      <c r="AY8" s="32">
        <v>0.73</v>
      </c>
      <c r="AZ8" s="31">
        <v>0.06</v>
      </c>
      <c r="BA8" s="34">
        <v>0.76</v>
      </c>
      <c r="BB8" s="31">
        <v>0.06</v>
      </c>
      <c r="BC8" s="32">
        <v>0.8</v>
      </c>
      <c r="BD8" s="33">
        <v>0.05</v>
      </c>
      <c r="BE8" s="32">
        <v>0.83</v>
      </c>
      <c r="BF8" s="33">
        <v>0.04</v>
      </c>
      <c r="BG8" s="32">
        <v>0.86</v>
      </c>
      <c r="BH8" s="31">
        <v>0.03</v>
      </c>
      <c r="BI8" s="32">
        <v>0.89</v>
      </c>
      <c r="BJ8" s="31">
        <v>0.02</v>
      </c>
      <c r="BK8" s="32">
        <v>0.93</v>
      </c>
      <c r="BL8" s="31">
        <v>0.02</v>
      </c>
      <c r="BM8" s="32">
        <v>0.93</v>
      </c>
      <c r="BN8" s="33">
        <v>0.01</v>
      </c>
      <c r="BO8" s="32">
        <v>0.99</v>
      </c>
      <c r="BP8" s="42"/>
    </row>
    <row r="9" spans="1:68" s="29" customFormat="1" ht="24.95" customHeight="1" x14ac:dyDescent="0.25">
      <c r="A9" s="37" t="s">
        <v>66</v>
      </c>
      <c r="B9" s="38" t="s">
        <v>61</v>
      </c>
      <c r="C9" s="39" t="s">
        <v>61</v>
      </c>
      <c r="D9" s="40" t="s">
        <v>61</v>
      </c>
      <c r="E9" s="39" t="s">
        <v>61</v>
      </c>
      <c r="F9" s="38" t="s">
        <v>61</v>
      </c>
      <c r="G9" s="39" t="s">
        <v>61</v>
      </c>
      <c r="H9" s="38" t="s">
        <v>61</v>
      </c>
      <c r="I9" s="41" t="s">
        <v>61</v>
      </c>
      <c r="J9" s="38" t="s">
        <v>61</v>
      </c>
      <c r="K9" s="39" t="s">
        <v>61</v>
      </c>
      <c r="L9" s="40" t="s">
        <v>61</v>
      </c>
      <c r="M9" s="41" t="s">
        <v>61</v>
      </c>
      <c r="N9" s="38" t="s">
        <v>61</v>
      </c>
      <c r="O9" s="39" t="s">
        <v>61</v>
      </c>
      <c r="P9" s="40" t="s">
        <v>61</v>
      </c>
      <c r="Q9" s="39" t="s">
        <v>61</v>
      </c>
      <c r="R9" s="40" t="s">
        <v>61</v>
      </c>
      <c r="S9" s="41" t="s">
        <v>61</v>
      </c>
      <c r="T9" s="38" t="s">
        <v>61</v>
      </c>
      <c r="U9" s="39" t="s">
        <v>61</v>
      </c>
      <c r="V9" s="38" t="s">
        <v>61</v>
      </c>
      <c r="W9" s="39" t="s">
        <v>61</v>
      </c>
      <c r="X9" s="38" t="s">
        <v>61</v>
      </c>
      <c r="Y9" s="39" t="s">
        <v>61</v>
      </c>
      <c r="Z9" s="40" t="s">
        <v>61</v>
      </c>
      <c r="AA9" s="39" t="s">
        <v>61</v>
      </c>
      <c r="AB9" s="38" t="s">
        <v>61</v>
      </c>
      <c r="AC9" s="39" t="s">
        <v>61</v>
      </c>
      <c r="AD9" s="38" t="s">
        <v>61</v>
      </c>
      <c r="AE9" s="39" t="s">
        <v>61</v>
      </c>
      <c r="AF9" s="38" t="s">
        <v>61</v>
      </c>
      <c r="AG9" s="39" t="s">
        <v>61</v>
      </c>
      <c r="AH9" s="38" t="s">
        <v>61</v>
      </c>
      <c r="AI9" s="39" t="s">
        <v>61</v>
      </c>
      <c r="AJ9" s="38" t="s">
        <v>61</v>
      </c>
      <c r="AK9" s="39" t="s">
        <v>61</v>
      </c>
      <c r="AL9" s="38" t="s">
        <v>61</v>
      </c>
      <c r="AM9" s="39" t="s">
        <v>61</v>
      </c>
      <c r="AN9" s="38" t="s">
        <v>61</v>
      </c>
      <c r="AO9" s="39" t="s">
        <v>61</v>
      </c>
      <c r="AP9" s="38" t="s">
        <v>61</v>
      </c>
      <c r="AQ9" s="41" t="s">
        <v>61</v>
      </c>
      <c r="AR9" s="38" t="s">
        <v>61</v>
      </c>
      <c r="AS9" s="39" t="s">
        <v>61</v>
      </c>
      <c r="AT9" s="38" t="s">
        <v>61</v>
      </c>
      <c r="AU9" s="41" t="s">
        <v>61</v>
      </c>
      <c r="AV9" s="38" t="s">
        <v>61</v>
      </c>
      <c r="AW9" s="39" t="s">
        <v>61</v>
      </c>
      <c r="AX9" s="38" t="s">
        <v>61</v>
      </c>
      <c r="AY9" s="39" t="s">
        <v>61</v>
      </c>
      <c r="AZ9" s="38" t="s">
        <v>61</v>
      </c>
      <c r="BA9" s="41" t="s">
        <v>61</v>
      </c>
      <c r="BB9" s="38" t="s">
        <v>61</v>
      </c>
      <c r="BC9" s="39" t="s">
        <v>61</v>
      </c>
      <c r="BD9" s="40" t="s">
        <v>61</v>
      </c>
      <c r="BE9" s="39" t="s">
        <v>61</v>
      </c>
      <c r="BF9" s="40" t="s">
        <v>61</v>
      </c>
      <c r="BG9" s="39" t="s">
        <v>61</v>
      </c>
      <c r="BH9" s="38" t="s">
        <v>61</v>
      </c>
      <c r="BI9" s="39" t="s">
        <v>61</v>
      </c>
      <c r="BJ9" s="38" t="s">
        <v>61</v>
      </c>
      <c r="BK9" s="39" t="s">
        <v>61</v>
      </c>
      <c r="BL9" s="38" t="s">
        <v>61</v>
      </c>
      <c r="BM9" s="39" t="s">
        <v>61</v>
      </c>
      <c r="BN9" s="40" t="s">
        <v>61</v>
      </c>
      <c r="BO9" s="39" t="s">
        <v>61</v>
      </c>
      <c r="BP9" s="28"/>
    </row>
    <row r="10" spans="1:68" s="29" customFormat="1" ht="24.95" customHeight="1" x14ac:dyDescent="0.25">
      <c r="A10" s="30" t="s">
        <v>67</v>
      </c>
      <c r="B10" s="31">
        <v>0.3</v>
      </c>
      <c r="C10" s="32">
        <v>0.21</v>
      </c>
      <c r="D10" s="33">
        <v>0.28999999999999998</v>
      </c>
      <c r="E10" s="32">
        <v>0.22</v>
      </c>
      <c r="F10" s="31">
        <v>0.28000000000000003</v>
      </c>
      <c r="G10" s="32">
        <v>0.23</v>
      </c>
      <c r="H10" s="31">
        <v>0.28000000000000003</v>
      </c>
      <c r="I10" s="34">
        <v>0.24</v>
      </c>
      <c r="J10" s="31">
        <v>0.27</v>
      </c>
      <c r="K10" s="32">
        <v>0.25</v>
      </c>
      <c r="L10" s="33">
        <v>0.27</v>
      </c>
      <c r="M10" s="34">
        <v>0.26</v>
      </c>
      <c r="N10" s="33">
        <v>0.26</v>
      </c>
      <c r="O10" s="34">
        <v>0.28000000000000003</v>
      </c>
      <c r="P10" s="33">
        <v>0.25</v>
      </c>
      <c r="Q10" s="32">
        <v>0.28999999999999998</v>
      </c>
      <c r="R10" s="33">
        <v>0.24</v>
      </c>
      <c r="S10" s="34">
        <v>0.3</v>
      </c>
      <c r="T10" s="31">
        <v>0.24</v>
      </c>
      <c r="U10" s="32">
        <v>0.32</v>
      </c>
      <c r="V10" s="31">
        <v>0.23</v>
      </c>
      <c r="W10" s="32">
        <v>0.34</v>
      </c>
      <c r="X10" s="31">
        <v>0.21</v>
      </c>
      <c r="Y10" s="32">
        <v>0.36</v>
      </c>
      <c r="Z10" s="44">
        <v>0.2</v>
      </c>
      <c r="AA10" s="36">
        <v>0.38</v>
      </c>
      <c r="AB10" s="31">
        <v>0.19</v>
      </c>
      <c r="AC10" s="32">
        <v>0.4</v>
      </c>
      <c r="AD10" s="31">
        <v>0.17</v>
      </c>
      <c r="AE10" s="32">
        <v>0.43</v>
      </c>
      <c r="AF10" s="31">
        <v>0.16</v>
      </c>
      <c r="AG10" s="32">
        <v>0.46</v>
      </c>
      <c r="AH10" s="31">
        <v>0.13</v>
      </c>
      <c r="AI10" s="32">
        <v>0.51</v>
      </c>
      <c r="AJ10" s="31">
        <v>0.11</v>
      </c>
      <c r="AK10" s="32">
        <v>0.55000000000000004</v>
      </c>
      <c r="AL10" s="31">
        <v>0.09</v>
      </c>
      <c r="AM10" s="32">
        <v>0.57999999999999996</v>
      </c>
      <c r="AN10" s="31">
        <v>0.08</v>
      </c>
      <c r="AO10" s="32">
        <v>0.61</v>
      </c>
      <c r="AP10" s="31">
        <v>0.08</v>
      </c>
      <c r="AQ10" s="34">
        <v>0.63</v>
      </c>
      <c r="AR10" s="31">
        <v>0.05</v>
      </c>
      <c r="AS10" s="32">
        <v>0.65</v>
      </c>
      <c r="AT10" s="31">
        <v>0.04</v>
      </c>
      <c r="AU10" s="34">
        <v>0.67</v>
      </c>
      <c r="AV10" s="31">
        <v>0.03</v>
      </c>
      <c r="AW10" s="32">
        <v>0.69</v>
      </c>
      <c r="AX10" s="31">
        <v>0.02</v>
      </c>
      <c r="AY10" s="32">
        <v>0.71</v>
      </c>
      <c r="AZ10" s="31">
        <v>0.01</v>
      </c>
      <c r="BA10" s="34">
        <v>0.72</v>
      </c>
      <c r="BB10" s="31">
        <v>0.01</v>
      </c>
      <c r="BC10" s="32">
        <v>0.73</v>
      </c>
      <c r="BD10" s="33">
        <v>0</v>
      </c>
      <c r="BE10" s="32">
        <v>0.75</v>
      </c>
      <c r="BF10" s="33">
        <v>0</v>
      </c>
      <c r="BG10" s="32">
        <v>0.76</v>
      </c>
      <c r="BH10" s="31">
        <v>0</v>
      </c>
      <c r="BI10" s="32">
        <v>0.77</v>
      </c>
      <c r="BJ10" s="31">
        <v>0</v>
      </c>
      <c r="BK10" s="32">
        <v>0.78</v>
      </c>
      <c r="BL10" s="31">
        <v>0</v>
      </c>
      <c r="BM10" s="32">
        <v>0.78</v>
      </c>
      <c r="BN10" s="33">
        <v>0</v>
      </c>
      <c r="BO10" s="32">
        <v>0.8</v>
      </c>
      <c r="BP10" s="28"/>
    </row>
    <row r="11" spans="1:68" s="43" customFormat="1" ht="24.95" customHeight="1" x14ac:dyDescent="0.25">
      <c r="A11" s="37" t="s">
        <v>68</v>
      </c>
      <c r="B11" s="38" t="s">
        <v>61</v>
      </c>
      <c r="C11" s="39" t="s">
        <v>61</v>
      </c>
      <c r="D11" s="40" t="s">
        <v>61</v>
      </c>
      <c r="E11" s="39" t="s">
        <v>61</v>
      </c>
      <c r="F11" s="38" t="s">
        <v>61</v>
      </c>
      <c r="G11" s="39" t="s">
        <v>61</v>
      </c>
      <c r="H11" s="38" t="s">
        <v>61</v>
      </c>
      <c r="I11" s="41" t="s">
        <v>61</v>
      </c>
      <c r="J11" s="38" t="s">
        <v>61</v>
      </c>
      <c r="K11" s="39" t="s">
        <v>61</v>
      </c>
      <c r="L11" s="40" t="s">
        <v>61</v>
      </c>
      <c r="M11" s="41" t="s">
        <v>61</v>
      </c>
      <c r="N11" s="38" t="s">
        <v>61</v>
      </c>
      <c r="O11" s="39" t="s">
        <v>61</v>
      </c>
      <c r="P11" s="40" t="s">
        <v>61</v>
      </c>
      <c r="Q11" s="39" t="s">
        <v>61</v>
      </c>
      <c r="R11" s="40" t="s">
        <v>61</v>
      </c>
      <c r="S11" s="41" t="s">
        <v>61</v>
      </c>
      <c r="T11" s="38" t="s">
        <v>61</v>
      </c>
      <c r="U11" s="39" t="s">
        <v>61</v>
      </c>
      <c r="V11" s="38" t="s">
        <v>61</v>
      </c>
      <c r="W11" s="39" t="s">
        <v>61</v>
      </c>
      <c r="X11" s="38" t="s">
        <v>61</v>
      </c>
      <c r="Y11" s="39" t="s">
        <v>61</v>
      </c>
      <c r="Z11" s="40" t="s">
        <v>61</v>
      </c>
      <c r="AA11" s="39" t="s">
        <v>61</v>
      </c>
      <c r="AB11" s="38" t="s">
        <v>61</v>
      </c>
      <c r="AC11" s="39" t="s">
        <v>61</v>
      </c>
      <c r="AD11" s="38" t="s">
        <v>61</v>
      </c>
      <c r="AE11" s="39" t="s">
        <v>61</v>
      </c>
      <c r="AF11" s="38" t="s">
        <v>61</v>
      </c>
      <c r="AG11" s="39" t="s">
        <v>61</v>
      </c>
      <c r="AH11" s="38" t="s">
        <v>61</v>
      </c>
      <c r="AI11" s="39" t="s">
        <v>61</v>
      </c>
      <c r="AJ11" s="38" t="s">
        <v>61</v>
      </c>
      <c r="AK11" s="39" t="s">
        <v>61</v>
      </c>
      <c r="AL11" s="38" t="s">
        <v>61</v>
      </c>
      <c r="AM11" s="39" t="s">
        <v>61</v>
      </c>
      <c r="AN11" s="38" t="s">
        <v>61</v>
      </c>
      <c r="AO11" s="39" t="s">
        <v>61</v>
      </c>
      <c r="AP11" s="38" t="s">
        <v>61</v>
      </c>
      <c r="AQ11" s="41" t="s">
        <v>61</v>
      </c>
      <c r="AR11" s="38" t="s">
        <v>61</v>
      </c>
      <c r="AS11" s="39" t="s">
        <v>61</v>
      </c>
      <c r="AT11" s="38" t="s">
        <v>61</v>
      </c>
      <c r="AU11" s="41" t="s">
        <v>61</v>
      </c>
      <c r="AV11" s="38" t="s">
        <v>61</v>
      </c>
      <c r="AW11" s="39" t="s">
        <v>61</v>
      </c>
      <c r="AX11" s="38" t="s">
        <v>61</v>
      </c>
      <c r="AY11" s="39" t="s">
        <v>61</v>
      </c>
      <c r="AZ11" s="38" t="s">
        <v>61</v>
      </c>
      <c r="BA11" s="41" t="s">
        <v>61</v>
      </c>
      <c r="BB11" s="38" t="s">
        <v>61</v>
      </c>
      <c r="BC11" s="39" t="s">
        <v>61</v>
      </c>
      <c r="BD11" s="40" t="s">
        <v>61</v>
      </c>
      <c r="BE11" s="39" t="s">
        <v>61</v>
      </c>
      <c r="BF11" s="40" t="s">
        <v>61</v>
      </c>
      <c r="BG11" s="39" t="s">
        <v>61</v>
      </c>
      <c r="BH11" s="38" t="s">
        <v>61</v>
      </c>
      <c r="BI11" s="39" t="s">
        <v>61</v>
      </c>
      <c r="BJ11" s="38" t="s">
        <v>61</v>
      </c>
      <c r="BK11" s="39" t="s">
        <v>61</v>
      </c>
      <c r="BL11" s="38" t="s">
        <v>61</v>
      </c>
      <c r="BM11" s="39" t="s">
        <v>61</v>
      </c>
      <c r="BN11" s="40" t="s">
        <v>61</v>
      </c>
      <c r="BO11" s="39" t="s">
        <v>61</v>
      </c>
      <c r="BP11" s="42"/>
    </row>
    <row r="12" spans="1:68" s="43" customFormat="1" ht="24.95" customHeight="1" x14ac:dyDescent="0.25">
      <c r="A12" s="37" t="s">
        <v>69</v>
      </c>
      <c r="B12" s="38" t="s">
        <v>61</v>
      </c>
      <c r="C12" s="39" t="s">
        <v>61</v>
      </c>
      <c r="D12" s="40" t="s">
        <v>61</v>
      </c>
      <c r="E12" s="39" t="s">
        <v>61</v>
      </c>
      <c r="F12" s="38" t="s">
        <v>61</v>
      </c>
      <c r="G12" s="39" t="s">
        <v>61</v>
      </c>
      <c r="H12" s="38" t="s">
        <v>61</v>
      </c>
      <c r="I12" s="41" t="s">
        <v>61</v>
      </c>
      <c r="J12" s="38" t="s">
        <v>61</v>
      </c>
      <c r="K12" s="39" t="s">
        <v>61</v>
      </c>
      <c r="L12" s="40" t="s">
        <v>61</v>
      </c>
      <c r="M12" s="41" t="s">
        <v>61</v>
      </c>
      <c r="N12" s="38" t="s">
        <v>61</v>
      </c>
      <c r="O12" s="39" t="s">
        <v>61</v>
      </c>
      <c r="P12" s="40" t="s">
        <v>61</v>
      </c>
      <c r="Q12" s="39" t="s">
        <v>61</v>
      </c>
      <c r="R12" s="40" t="s">
        <v>61</v>
      </c>
      <c r="S12" s="41" t="s">
        <v>61</v>
      </c>
      <c r="T12" s="38" t="s">
        <v>61</v>
      </c>
      <c r="U12" s="39" t="s">
        <v>61</v>
      </c>
      <c r="V12" s="38" t="s">
        <v>61</v>
      </c>
      <c r="W12" s="39" t="s">
        <v>61</v>
      </c>
      <c r="X12" s="38" t="s">
        <v>61</v>
      </c>
      <c r="Y12" s="39" t="s">
        <v>61</v>
      </c>
      <c r="Z12" s="40" t="s">
        <v>61</v>
      </c>
      <c r="AA12" s="39" t="s">
        <v>61</v>
      </c>
      <c r="AB12" s="38" t="s">
        <v>61</v>
      </c>
      <c r="AC12" s="39" t="s">
        <v>61</v>
      </c>
      <c r="AD12" s="38" t="s">
        <v>61</v>
      </c>
      <c r="AE12" s="39" t="s">
        <v>61</v>
      </c>
      <c r="AF12" s="38" t="s">
        <v>61</v>
      </c>
      <c r="AG12" s="39" t="s">
        <v>61</v>
      </c>
      <c r="AH12" s="38" t="s">
        <v>61</v>
      </c>
      <c r="AI12" s="39" t="s">
        <v>61</v>
      </c>
      <c r="AJ12" s="38" t="s">
        <v>61</v>
      </c>
      <c r="AK12" s="39" t="s">
        <v>61</v>
      </c>
      <c r="AL12" s="38" t="s">
        <v>61</v>
      </c>
      <c r="AM12" s="39" t="s">
        <v>61</v>
      </c>
      <c r="AN12" s="38" t="s">
        <v>61</v>
      </c>
      <c r="AO12" s="39" t="s">
        <v>61</v>
      </c>
      <c r="AP12" s="38" t="s">
        <v>61</v>
      </c>
      <c r="AQ12" s="41" t="s">
        <v>61</v>
      </c>
      <c r="AR12" s="38" t="s">
        <v>61</v>
      </c>
      <c r="AS12" s="39" t="s">
        <v>61</v>
      </c>
      <c r="AT12" s="38" t="s">
        <v>61</v>
      </c>
      <c r="AU12" s="41" t="s">
        <v>61</v>
      </c>
      <c r="AV12" s="38" t="s">
        <v>61</v>
      </c>
      <c r="AW12" s="39" t="s">
        <v>61</v>
      </c>
      <c r="AX12" s="38" t="s">
        <v>61</v>
      </c>
      <c r="AY12" s="39" t="s">
        <v>61</v>
      </c>
      <c r="AZ12" s="38" t="s">
        <v>61</v>
      </c>
      <c r="BA12" s="41" t="s">
        <v>61</v>
      </c>
      <c r="BB12" s="38" t="s">
        <v>61</v>
      </c>
      <c r="BC12" s="39" t="s">
        <v>61</v>
      </c>
      <c r="BD12" s="40" t="s">
        <v>61</v>
      </c>
      <c r="BE12" s="39" t="s">
        <v>61</v>
      </c>
      <c r="BF12" s="40" t="s">
        <v>61</v>
      </c>
      <c r="BG12" s="39" t="s">
        <v>61</v>
      </c>
      <c r="BH12" s="38" t="s">
        <v>61</v>
      </c>
      <c r="BI12" s="39" t="s">
        <v>61</v>
      </c>
      <c r="BJ12" s="38" t="s">
        <v>61</v>
      </c>
      <c r="BK12" s="39" t="s">
        <v>61</v>
      </c>
      <c r="BL12" s="38" t="s">
        <v>61</v>
      </c>
      <c r="BM12" s="39" t="s">
        <v>61</v>
      </c>
      <c r="BN12" s="40" t="s">
        <v>61</v>
      </c>
      <c r="BO12" s="39" t="s">
        <v>61</v>
      </c>
      <c r="BP12" s="42"/>
    </row>
    <row r="13" spans="1:68" s="43" customFormat="1" ht="24.95" customHeight="1" x14ac:dyDescent="0.25">
      <c r="A13" s="30" t="s">
        <v>70</v>
      </c>
      <c r="B13" s="31">
        <v>0.8</v>
      </c>
      <c r="C13" s="32">
        <v>0</v>
      </c>
      <c r="D13" s="33">
        <v>0.78</v>
      </c>
      <c r="E13" s="32">
        <v>0</v>
      </c>
      <c r="F13" s="31">
        <v>0.78</v>
      </c>
      <c r="G13" s="32">
        <v>0</v>
      </c>
      <c r="H13" s="31">
        <v>0.77</v>
      </c>
      <c r="I13" s="34">
        <v>0</v>
      </c>
      <c r="J13" s="31">
        <v>0.76</v>
      </c>
      <c r="K13" s="32">
        <v>0</v>
      </c>
      <c r="L13" s="33">
        <v>0.75</v>
      </c>
      <c r="M13" s="34">
        <v>0</v>
      </c>
      <c r="N13" s="31">
        <v>0.73</v>
      </c>
      <c r="O13" s="32">
        <v>0.01</v>
      </c>
      <c r="P13" s="33">
        <v>0.72</v>
      </c>
      <c r="Q13" s="32">
        <v>0.01</v>
      </c>
      <c r="R13" s="33">
        <v>0.71</v>
      </c>
      <c r="S13" s="34">
        <v>0.02</v>
      </c>
      <c r="T13" s="31">
        <v>0.69</v>
      </c>
      <c r="U13" s="32">
        <v>0.03</v>
      </c>
      <c r="V13" s="31">
        <v>0.67</v>
      </c>
      <c r="W13" s="32">
        <v>0.04</v>
      </c>
      <c r="X13" s="31">
        <v>0.65</v>
      </c>
      <c r="Y13" s="32">
        <v>0.05</v>
      </c>
      <c r="Z13" s="33">
        <v>0.63</v>
      </c>
      <c r="AA13" s="32">
        <v>0.06</v>
      </c>
      <c r="AB13" s="31">
        <v>0.61</v>
      </c>
      <c r="AC13" s="32">
        <v>0.08</v>
      </c>
      <c r="AD13" s="31">
        <v>0.57999999999999996</v>
      </c>
      <c r="AE13" s="32">
        <v>0.09</v>
      </c>
      <c r="AF13" s="31">
        <v>0.55000000000000004</v>
      </c>
      <c r="AG13" s="32">
        <v>0.11</v>
      </c>
      <c r="AH13" s="31">
        <v>0.51</v>
      </c>
      <c r="AI13" s="32">
        <v>0.13</v>
      </c>
      <c r="AJ13" s="31">
        <v>0.46</v>
      </c>
      <c r="AK13" s="32">
        <v>0.16</v>
      </c>
      <c r="AL13" s="31">
        <v>0.43</v>
      </c>
      <c r="AM13" s="32">
        <v>0.17</v>
      </c>
      <c r="AN13" s="31">
        <v>0.4</v>
      </c>
      <c r="AO13" s="32">
        <v>0.19</v>
      </c>
      <c r="AP13" s="31">
        <v>0.38</v>
      </c>
      <c r="AQ13" s="34">
        <v>0.2</v>
      </c>
      <c r="AR13" s="31">
        <v>0.36</v>
      </c>
      <c r="AS13" s="32">
        <v>0.21</v>
      </c>
      <c r="AT13" s="31">
        <v>0.34</v>
      </c>
      <c r="AU13" s="34">
        <v>0.23</v>
      </c>
      <c r="AV13" s="31">
        <v>0.32</v>
      </c>
      <c r="AW13" s="32">
        <v>0.24</v>
      </c>
      <c r="AX13" s="31">
        <v>0.3</v>
      </c>
      <c r="AY13" s="32">
        <v>0.24</v>
      </c>
      <c r="AZ13" s="31">
        <v>0.28999999999999998</v>
      </c>
      <c r="BA13" s="34">
        <v>0.25</v>
      </c>
      <c r="BB13" s="31">
        <v>0.28000000000000003</v>
      </c>
      <c r="BC13" s="34">
        <v>0.26</v>
      </c>
      <c r="BD13" s="33">
        <v>0.26</v>
      </c>
      <c r="BE13" s="32">
        <v>0.27</v>
      </c>
      <c r="BF13" s="33">
        <v>0.25</v>
      </c>
      <c r="BG13" s="32">
        <v>0.27</v>
      </c>
      <c r="BH13" s="31">
        <v>0.24</v>
      </c>
      <c r="BI13" s="32">
        <v>0.28000000000000003</v>
      </c>
      <c r="BJ13" s="31">
        <v>0.23</v>
      </c>
      <c r="BK13" s="32">
        <v>0.28000000000000003</v>
      </c>
      <c r="BL13" s="31">
        <v>0.22</v>
      </c>
      <c r="BM13" s="32">
        <v>0.28999999999999998</v>
      </c>
      <c r="BN13" s="44">
        <v>0.21</v>
      </c>
      <c r="BO13" s="36">
        <v>0.3</v>
      </c>
      <c r="BP13" s="42"/>
    </row>
    <row r="14" spans="1:68" s="43" customFormat="1" ht="24.95" customHeight="1" x14ac:dyDescent="0.25">
      <c r="A14" s="37" t="s">
        <v>71</v>
      </c>
      <c r="B14" s="38" t="s">
        <v>61</v>
      </c>
      <c r="C14" s="39" t="s">
        <v>61</v>
      </c>
      <c r="D14" s="40" t="s">
        <v>61</v>
      </c>
      <c r="E14" s="39" t="s">
        <v>61</v>
      </c>
      <c r="F14" s="38" t="s">
        <v>61</v>
      </c>
      <c r="G14" s="39" t="s">
        <v>61</v>
      </c>
      <c r="H14" s="38" t="s">
        <v>61</v>
      </c>
      <c r="I14" s="41" t="s">
        <v>61</v>
      </c>
      <c r="J14" s="38" t="s">
        <v>61</v>
      </c>
      <c r="K14" s="39" t="s">
        <v>61</v>
      </c>
      <c r="L14" s="40" t="s">
        <v>61</v>
      </c>
      <c r="M14" s="41" t="s">
        <v>61</v>
      </c>
      <c r="N14" s="38" t="s">
        <v>61</v>
      </c>
      <c r="O14" s="39" t="s">
        <v>61</v>
      </c>
      <c r="P14" s="40" t="s">
        <v>61</v>
      </c>
      <c r="Q14" s="39" t="s">
        <v>61</v>
      </c>
      <c r="R14" s="40" t="s">
        <v>61</v>
      </c>
      <c r="S14" s="41" t="s">
        <v>61</v>
      </c>
      <c r="T14" s="38" t="s">
        <v>61</v>
      </c>
      <c r="U14" s="39" t="s">
        <v>61</v>
      </c>
      <c r="V14" s="38" t="s">
        <v>61</v>
      </c>
      <c r="W14" s="39" t="s">
        <v>61</v>
      </c>
      <c r="X14" s="38" t="s">
        <v>61</v>
      </c>
      <c r="Y14" s="39" t="s">
        <v>61</v>
      </c>
      <c r="Z14" s="40" t="s">
        <v>61</v>
      </c>
      <c r="AA14" s="39" t="s">
        <v>61</v>
      </c>
      <c r="AB14" s="38" t="s">
        <v>61</v>
      </c>
      <c r="AC14" s="39" t="s">
        <v>61</v>
      </c>
      <c r="AD14" s="38" t="s">
        <v>61</v>
      </c>
      <c r="AE14" s="39" t="s">
        <v>61</v>
      </c>
      <c r="AF14" s="38" t="s">
        <v>61</v>
      </c>
      <c r="AG14" s="39" t="s">
        <v>61</v>
      </c>
      <c r="AH14" s="38" t="s">
        <v>61</v>
      </c>
      <c r="AI14" s="39" t="s">
        <v>61</v>
      </c>
      <c r="AJ14" s="38" t="s">
        <v>61</v>
      </c>
      <c r="AK14" s="39" t="s">
        <v>61</v>
      </c>
      <c r="AL14" s="38" t="s">
        <v>61</v>
      </c>
      <c r="AM14" s="39" t="s">
        <v>61</v>
      </c>
      <c r="AN14" s="38" t="s">
        <v>61</v>
      </c>
      <c r="AO14" s="39" t="s">
        <v>61</v>
      </c>
      <c r="AP14" s="38" t="s">
        <v>61</v>
      </c>
      <c r="AQ14" s="41" t="s">
        <v>61</v>
      </c>
      <c r="AR14" s="38" t="s">
        <v>61</v>
      </c>
      <c r="AS14" s="39" t="s">
        <v>61</v>
      </c>
      <c r="AT14" s="38" t="s">
        <v>61</v>
      </c>
      <c r="AU14" s="41" t="s">
        <v>61</v>
      </c>
      <c r="AV14" s="38" t="s">
        <v>61</v>
      </c>
      <c r="AW14" s="39" t="s">
        <v>61</v>
      </c>
      <c r="AX14" s="38" t="s">
        <v>61</v>
      </c>
      <c r="AY14" s="39" t="s">
        <v>61</v>
      </c>
      <c r="AZ14" s="38" t="s">
        <v>61</v>
      </c>
      <c r="BA14" s="41" t="s">
        <v>61</v>
      </c>
      <c r="BB14" s="38" t="s">
        <v>61</v>
      </c>
      <c r="BC14" s="39" t="s">
        <v>61</v>
      </c>
      <c r="BD14" s="40" t="s">
        <v>61</v>
      </c>
      <c r="BE14" s="39" t="s">
        <v>61</v>
      </c>
      <c r="BF14" s="40" t="s">
        <v>61</v>
      </c>
      <c r="BG14" s="39" t="s">
        <v>61</v>
      </c>
      <c r="BH14" s="38" t="s">
        <v>61</v>
      </c>
      <c r="BI14" s="39" t="s">
        <v>61</v>
      </c>
      <c r="BJ14" s="38" t="s">
        <v>61</v>
      </c>
      <c r="BK14" s="39" t="s">
        <v>61</v>
      </c>
      <c r="BL14" s="38" t="s">
        <v>61</v>
      </c>
      <c r="BM14" s="39" t="s">
        <v>61</v>
      </c>
      <c r="BN14" s="40" t="s">
        <v>61</v>
      </c>
      <c r="BO14" s="39" t="s">
        <v>61</v>
      </c>
      <c r="BP14" s="42"/>
    </row>
    <row r="15" spans="1:68" s="43" customFormat="1" ht="24.95" customHeight="1" x14ac:dyDescent="0.25">
      <c r="A15" s="30" t="s">
        <v>72</v>
      </c>
      <c r="B15" s="31">
        <v>0.7</v>
      </c>
      <c r="C15" s="32">
        <v>0.12</v>
      </c>
      <c r="D15" s="33">
        <v>0.68</v>
      </c>
      <c r="E15" s="32">
        <v>0.13</v>
      </c>
      <c r="F15" s="31">
        <v>0.68</v>
      </c>
      <c r="G15" s="32">
        <v>0.13</v>
      </c>
      <c r="H15" s="31">
        <v>0.67</v>
      </c>
      <c r="I15" s="34">
        <v>0.14000000000000001</v>
      </c>
      <c r="J15" s="31">
        <v>0.66</v>
      </c>
      <c r="K15" s="32">
        <v>0.14000000000000001</v>
      </c>
      <c r="L15" s="33">
        <v>0.65</v>
      </c>
      <c r="M15" s="34">
        <v>0.15</v>
      </c>
      <c r="N15" s="31">
        <v>0.63</v>
      </c>
      <c r="O15" s="32">
        <v>0.16</v>
      </c>
      <c r="P15" s="33">
        <v>0.62</v>
      </c>
      <c r="Q15" s="32">
        <v>0.16</v>
      </c>
      <c r="R15" s="33">
        <v>0.61</v>
      </c>
      <c r="S15" s="34">
        <v>0.17</v>
      </c>
      <c r="T15" s="31">
        <v>0.59</v>
      </c>
      <c r="U15" s="32">
        <v>0.18</v>
      </c>
      <c r="V15" s="31">
        <v>0.56999999999999995</v>
      </c>
      <c r="W15" s="32">
        <v>0.19</v>
      </c>
      <c r="X15" s="31">
        <v>0.55000000000000004</v>
      </c>
      <c r="Y15" s="32">
        <v>0.2</v>
      </c>
      <c r="Z15" s="33">
        <v>0.53</v>
      </c>
      <c r="AA15" s="32">
        <v>0.21</v>
      </c>
      <c r="AB15" s="31">
        <v>0.51</v>
      </c>
      <c r="AC15" s="32">
        <v>0.23</v>
      </c>
      <c r="AD15" s="31">
        <v>0.48</v>
      </c>
      <c r="AE15" s="32">
        <v>0.24</v>
      </c>
      <c r="AF15" s="31">
        <v>0.45</v>
      </c>
      <c r="AG15" s="32">
        <v>0.26</v>
      </c>
      <c r="AH15" s="31">
        <v>0.41</v>
      </c>
      <c r="AI15" s="32">
        <v>0.28000000000000003</v>
      </c>
      <c r="AJ15" s="31">
        <v>0.36</v>
      </c>
      <c r="AK15" s="32">
        <v>0.31</v>
      </c>
      <c r="AL15" s="31">
        <v>0.33</v>
      </c>
      <c r="AM15" s="32">
        <v>0.32</v>
      </c>
      <c r="AN15" s="31">
        <v>0.3</v>
      </c>
      <c r="AO15" s="32">
        <v>0.34</v>
      </c>
      <c r="AP15" s="31">
        <v>0.28000000000000003</v>
      </c>
      <c r="AQ15" s="34">
        <v>0.35</v>
      </c>
      <c r="AR15" s="31">
        <v>0.26</v>
      </c>
      <c r="AS15" s="32">
        <v>0.36</v>
      </c>
      <c r="AT15" s="31">
        <v>0.24</v>
      </c>
      <c r="AU15" s="34">
        <v>0.38</v>
      </c>
      <c r="AV15" s="31">
        <v>0.22</v>
      </c>
      <c r="AW15" s="32">
        <v>0.39</v>
      </c>
      <c r="AX15" s="35">
        <v>0.2</v>
      </c>
      <c r="AY15" s="36">
        <v>0.39</v>
      </c>
      <c r="AZ15" s="31">
        <v>0.19</v>
      </c>
      <c r="BA15" s="34">
        <v>0.4</v>
      </c>
      <c r="BB15" s="31">
        <v>0.18</v>
      </c>
      <c r="BC15" s="32">
        <v>0.41</v>
      </c>
      <c r="BD15" s="33">
        <v>0.16</v>
      </c>
      <c r="BE15" s="32">
        <v>0.42</v>
      </c>
      <c r="BF15" s="33">
        <v>0.15</v>
      </c>
      <c r="BG15" s="32">
        <v>0.42</v>
      </c>
      <c r="BH15" s="31">
        <v>0.14000000000000001</v>
      </c>
      <c r="BI15" s="32">
        <v>0.43</v>
      </c>
      <c r="BJ15" s="31">
        <v>0.13</v>
      </c>
      <c r="BK15" s="32">
        <v>0.43</v>
      </c>
      <c r="BL15" s="31">
        <v>0.12</v>
      </c>
      <c r="BM15" s="32">
        <v>0.44</v>
      </c>
      <c r="BN15" s="33">
        <v>0.11</v>
      </c>
      <c r="BO15" s="32">
        <v>0.45</v>
      </c>
      <c r="BP15" s="42"/>
    </row>
    <row r="16" spans="1:68" s="43" customFormat="1" ht="24.95" customHeight="1" x14ac:dyDescent="0.25">
      <c r="A16" s="30" t="s">
        <v>73</v>
      </c>
      <c r="B16" s="31">
        <v>0.51</v>
      </c>
      <c r="C16" s="32">
        <v>0.09</v>
      </c>
      <c r="D16" s="33">
        <v>0.5</v>
      </c>
      <c r="E16" s="32">
        <v>0.09</v>
      </c>
      <c r="F16" s="31">
        <v>0.5</v>
      </c>
      <c r="G16" s="32">
        <v>0.09</v>
      </c>
      <c r="H16" s="31">
        <v>0.49</v>
      </c>
      <c r="I16" s="34">
        <v>0.1</v>
      </c>
      <c r="J16" s="31">
        <v>0.48</v>
      </c>
      <c r="K16" s="32">
        <v>0.1</v>
      </c>
      <c r="L16" s="33">
        <v>0.48</v>
      </c>
      <c r="M16" s="34">
        <v>0.1</v>
      </c>
      <c r="N16" s="31">
        <v>0.47</v>
      </c>
      <c r="O16" s="32">
        <v>0.11</v>
      </c>
      <c r="P16" s="33">
        <v>0.46</v>
      </c>
      <c r="Q16" s="32">
        <v>0.11</v>
      </c>
      <c r="R16" s="33">
        <v>0.45</v>
      </c>
      <c r="S16" s="34">
        <v>0.12</v>
      </c>
      <c r="T16" s="31">
        <v>0.44</v>
      </c>
      <c r="U16" s="32">
        <v>0.12</v>
      </c>
      <c r="V16" s="31">
        <v>0.43</v>
      </c>
      <c r="W16" s="32">
        <v>0.13</v>
      </c>
      <c r="X16" s="31">
        <v>0.41</v>
      </c>
      <c r="Y16" s="32">
        <v>0.14000000000000001</v>
      </c>
      <c r="Z16" s="33">
        <v>0.4</v>
      </c>
      <c r="AA16" s="32">
        <v>0.15</v>
      </c>
      <c r="AB16" s="31">
        <v>0.38</v>
      </c>
      <c r="AC16" s="32">
        <v>0.16</v>
      </c>
      <c r="AD16" s="31">
        <v>0.36</v>
      </c>
      <c r="AE16" s="32">
        <v>0.18</v>
      </c>
      <c r="AF16" s="31">
        <v>0.34</v>
      </c>
      <c r="AG16" s="32">
        <v>0.2</v>
      </c>
      <c r="AH16" s="31">
        <v>0.31</v>
      </c>
      <c r="AI16" s="32">
        <v>0.23</v>
      </c>
      <c r="AJ16" s="31">
        <v>0.28000000000000003</v>
      </c>
      <c r="AK16" s="32">
        <v>0.26</v>
      </c>
      <c r="AL16" s="31">
        <v>0.26</v>
      </c>
      <c r="AM16" s="32">
        <v>0.28999999999999998</v>
      </c>
      <c r="AN16" s="31">
        <v>0.24</v>
      </c>
      <c r="AO16" s="32">
        <v>0.32</v>
      </c>
      <c r="AP16" s="31">
        <v>0.22</v>
      </c>
      <c r="AQ16" s="34">
        <v>0.34</v>
      </c>
      <c r="AR16" s="31">
        <v>0.21</v>
      </c>
      <c r="AS16" s="32">
        <v>0.37</v>
      </c>
      <c r="AT16" s="35">
        <v>0.2</v>
      </c>
      <c r="AU16" s="45">
        <v>0.39</v>
      </c>
      <c r="AV16" s="31">
        <v>0.19</v>
      </c>
      <c r="AW16" s="32">
        <v>0.41</v>
      </c>
      <c r="AX16" s="31">
        <v>0.17</v>
      </c>
      <c r="AY16" s="32">
        <v>0.44</v>
      </c>
      <c r="AZ16" s="31">
        <v>0.16</v>
      </c>
      <c r="BA16" s="34">
        <v>0.46</v>
      </c>
      <c r="BB16" s="31">
        <v>0.16</v>
      </c>
      <c r="BC16" s="32">
        <v>0.48</v>
      </c>
      <c r="BD16" s="33">
        <v>0.15</v>
      </c>
      <c r="BE16" s="32">
        <v>0.5</v>
      </c>
      <c r="BF16" s="33">
        <v>0.14000000000000001</v>
      </c>
      <c r="BG16" s="32">
        <v>0.52</v>
      </c>
      <c r="BH16" s="31">
        <v>0.13</v>
      </c>
      <c r="BI16" s="32">
        <v>0.54</v>
      </c>
      <c r="BJ16" s="31">
        <v>0.12</v>
      </c>
      <c r="BK16" s="32">
        <v>0.56000000000000005</v>
      </c>
      <c r="BL16" s="31">
        <v>0.12</v>
      </c>
      <c r="BM16" s="32">
        <v>0.56000000000000005</v>
      </c>
      <c r="BN16" s="33">
        <v>0.11</v>
      </c>
      <c r="BO16" s="32">
        <v>0.59</v>
      </c>
      <c r="BP16" s="42"/>
    </row>
    <row r="17" spans="1:68" s="43" customFormat="1" ht="24.95" customHeight="1" x14ac:dyDescent="0.25">
      <c r="A17" s="37" t="s">
        <v>74</v>
      </c>
      <c r="B17" s="38" t="s">
        <v>61</v>
      </c>
      <c r="C17" s="39" t="s">
        <v>61</v>
      </c>
      <c r="D17" s="40" t="s">
        <v>61</v>
      </c>
      <c r="E17" s="39" t="s">
        <v>61</v>
      </c>
      <c r="F17" s="38" t="s">
        <v>61</v>
      </c>
      <c r="G17" s="39" t="s">
        <v>61</v>
      </c>
      <c r="H17" s="38" t="s">
        <v>61</v>
      </c>
      <c r="I17" s="41" t="s">
        <v>61</v>
      </c>
      <c r="J17" s="38" t="s">
        <v>61</v>
      </c>
      <c r="K17" s="39" t="s">
        <v>61</v>
      </c>
      <c r="L17" s="40" t="s">
        <v>61</v>
      </c>
      <c r="M17" s="41" t="s">
        <v>61</v>
      </c>
      <c r="N17" s="38" t="s">
        <v>61</v>
      </c>
      <c r="O17" s="39" t="s">
        <v>61</v>
      </c>
      <c r="P17" s="40" t="s">
        <v>61</v>
      </c>
      <c r="Q17" s="39" t="s">
        <v>61</v>
      </c>
      <c r="R17" s="40" t="s">
        <v>61</v>
      </c>
      <c r="S17" s="41" t="s">
        <v>61</v>
      </c>
      <c r="T17" s="38" t="s">
        <v>61</v>
      </c>
      <c r="U17" s="39" t="s">
        <v>61</v>
      </c>
      <c r="V17" s="38" t="s">
        <v>61</v>
      </c>
      <c r="W17" s="39" t="s">
        <v>61</v>
      </c>
      <c r="X17" s="38" t="s">
        <v>61</v>
      </c>
      <c r="Y17" s="39" t="s">
        <v>61</v>
      </c>
      <c r="Z17" s="40" t="s">
        <v>61</v>
      </c>
      <c r="AA17" s="39" t="s">
        <v>61</v>
      </c>
      <c r="AB17" s="38" t="s">
        <v>61</v>
      </c>
      <c r="AC17" s="39" t="s">
        <v>61</v>
      </c>
      <c r="AD17" s="38" t="s">
        <v>61</v>
      </c>
      <c r="AE17" s="39" t="s">
        <v>61</v>
      </c>
      <c r="AF17" s="38" t="s">
        <v>61</v>
      </c>
      <c r="AG17" s="39" t="s">
        <v>61</v>
      </c>
      <c r="AH17" s="38" t="s">
        <v>61</v>
      </c>
      <c r="AI17" s="39" t="s">
        <v>61</v>
      </c>
      <c r="AJ17" s="38" t="s">
        <v>61</v>
      </c>
      <c r="AK17" s="39" t="s">
        <v>61</v>
      </c>
      <c r="AL17" s="38" t="s">
        <v>61</v>
      </c>
      <c r="AM17" s="39" t="s">
        <v>61</v>
      </c>
      <c r="AN17" s="38" t="s">
        <v>61</v>
      </c>
      <c r="AO17" s="39" t="s">
        <v>61</v>
      </c>
      <c r="AP17" s="38" t="s">
        <v>61</v>
      </c>
      <c r="AQ17" s="41" t="s">
        <v>61</v>
      </c>
      <c r="AR17" s="38" t="s">
        <v>61</v>
      </c>
      <c r="AS17" s="39" t="s">
        <v>61</v>
      </c>
      <c r="AT17" s="38" t="s">
        <v>61</v>
      </c>
      <c r="AU17" s="41" t="s">
        <v>61</v>
      </c>
      <c r="AV17" s="38" t="s">
        <v>61</v>
      </c>
      <c r="AW17" s="39" t="s">
        <v>61</v>
      </c>
      <c r="AX17" s="38" t="s">
        <v>61</v>
      </c>
      <c r="AY17" s="39" t="s">
        <v>61</v>
      </c>
      <c r="AZ17" s="38" t="s">
        <v>61</v>
      </c>
      <c r="BA17" s="41" t="s">
        <v>61</v>
      </c>
      <c r="BB17" s="38" t="s">
        <v>61</v>
      </c>
      <c r="BC17" s="39" t="s">
        <v>61</v>
      </c>
      <c r="BD17" s="40" t="s">
        <v>61</v>
      </c>
      <c r="BE17" s="39" t="s">
        <v>61</v>
      </c>
      <c r="BF17" s="40" t="s">
        <v>61</v>
      </c>
      <c r="BG17" s="39" t="s">
        <v>61</v>
      </c>
      <c r="BH17" s="38" t="s">
        <v>61</v>
      </c>
      <c r="BI17" s="39" t="s">
        <v>61</v>
      </c>
      <c r="BJ17" s="38" t="s">
        <v>61</v>
      </c>
      <c r="BK17" s="39" t="s">
        <v>61</v>
      </c>
      <c r="BL17" s="38" t="s">
        <v>61</v>
      </c>
      <c r="BM17" s="39" t="s">
        <v>61</v>
      </c>
      <c r="BN17" s="40" t="s">
        <v>61</v>
      </c>
      <c r="BO17" s="39" t="s">
        <v>61</v>
      </c>
      <c r="BP17" s="42"/>
    </row>
    <row r="18" spans="1:68" s="43" customFormat="1" ht="24.95" customHeight="1" x14ac:dyDescent="0.25">
      <c r="A18" s="30" t="s">
        <v>75</v>
      </c>
      <c r="B18" s="31">
        <v>0.45</v>
      </c>
      <c r="C18" s="32">
        <v>0.11</v>
      </c>
      <c r="D18" s="33">
        <v>0.44</v>
      </c>
      <c r="E18" s="32">
        <v>0.12</v>
      </c>
      <c r="F18" s="31">
        <v>0.43</v>
      </c>
      <c r="G18" s="32">
        <v>0.13</v>
      </c>
      <c r="H18" s="31">
        <v>0.43</v>
      </c>
      <c r="I18" s="34">
        <v>0.14000000000000001</v>
      </c>
      <c r="J18" s="31">
        <v>0.42</v>
      </c>
      <c r="K18" s="32">
        <v>0.15</v>
      </c>
      <c r="L18" s="33">
        <v>0.42</v>
      </c>
      <c r="M18" s="34">
        <v>0.16</v>
      </c>
      <c r="N18" s="31">
        <v>0.41</v>
      </c>
      <c r="O18" s="32">
        <v>0.18</v>
      </c>
      <c r="P18" s="33">
        <v>0.4</v>
      </c>
      <c r="Q18" s="32">
        <v>0.19</v>
      </c>
      <c r="R18" s="33">
        <v>0.39</v>
      </c>
      <c r="S18" s="32">
        <v>0.2</v>
      </c>
      <c r="T18" s="31">
        <v>0.39</v>
      </c>
      <c r="U18" s="32">
        <v>0.22</v>
      </c>
      <c r="V18" s="31">
        <v>0.38</v>
      </c>
      <c r="W18" s="32">
        <v>0.24</v>
      </c>
      <c r="X18" s="31">
        <v>0.36</v>
      </c>
      <c r="Y18" s="32">
        <v>0.26</v>
      </c>
      <c r="Z18" s="33">
        <v>0.35</v>
      </c>
      <c r="AA18" s="32">
        <v>0.28000000000000003</v>
      </c>
      <c r="AB18" s="31">
        <v>0.34</v>
      </c>
      <c r="AC18" s="32">
        <v>0.3</v>
      </c>
      <c r="AD18" s="31">
        <v>0.32</v>
      </c>
      <c r="AE18" s="32">
        <v>0.33</v>
      </c>
      <c r="AF18" s="31">
        <v>0.31</v>
      </c>
      <c r="AG18" s="32">
        <v>0.36</v>
      </c>
      <c r="AH18" s="31">
        <v>0.28000000000000003</v>
      </c>
      <c r="AI18" s="32">
        <v>0.41</v>
      </c>
      <c r="AJ18" s="31">
        <v>0.26</v>
      </c>
      <c r="AK18" s="32">
        <v>0.45</v>
      </c>
      <c r="AL18" s="31">
        <v>0.24</v>
      </c>
      <c r="AM18" s="32">
        <v>0.48</v>
      </c>
      <c r="AN18" s="31">
        <v>0.23</v>
      </c>
      <c r="AO18" s="32">
        <v>0.51</v>
      </c>
      <c r="AP18" s="31">
        <v>0.21</v>
      </c>
      <c r="AQ18" s="34">
        <v>0.53</v>
      </c>
      <c r="AR18" s="35">
        <v>0.2</v>
      </c>
      <c r="AS18" s="36">
        <v>0.55000000000000004</v>
      </c>
      <c r="AT18" s="31">
        <v>0.19</v>
      </c>
      <c r="AU18" s="34">
        <v>0.56999999999999995</v>
      </c>
      <c r="AV18" s="31">
        <v>0.18</v>
      </c>
      <c r="AW18" s="32">
        <v>0.59</v>
      </c>
      <c r="AX18" s="31">
        <v>0.17</v>
      </c>
      <c r="AY18" s="32">
        <v>0.61</v>
      </c>
      <c r="AZ18" s="31">
        <v>0.16</v>
      </c>
      <c r="BA18" s="34">
        <v>0.62</v>
      </c>
      <c r="BB18" s="31">
        <v>0.16</v>
      </c>
      <c r="BC18" s="32">
        <v>0.63</v>
      </c>
      <c r="BD18" s="33">
        <v>0.15</v>
      </c>
      <c r="BE18" s="32">
        <v>0.65</v>
      </c>
      <c r="BF18" s="33">
        <v>0.14000000000000001</v>
      </c>
      <c r="BG18" s="32">
        <v>0.66</v>
      </c>
      <c r="BH18" s="31">
        <v>0.14000000000000001</v>
      </c>
      <c r="BI18" s="32">
        <v>0.67</v>
      </c>
      <c r="BJ18" s="31">
        <v>0.13</v>
      </c>
      <c r="BK18" s="32">
        <v>0.68</v>
      </c>
      <c r="BL18" s="31">
        <v>0.13</v>
      </c>
      <c r="BM18" s="32">
        <v>0.68</v>
      </c>
      <c r="BN18" s="33">
        <v>0.12</v>
      </c>
      <c r="BO18" s="32">
        <v>0.7</v>
      </c>
      <c r="BP18" s="42"/>
    </row>
    <row r="19" spans="1:68" s="43" customFormat="1" ht="24.95" customHeight="1" x14ac:dyDescent="0.25">
      <c r="A19" s="37" t="s">
        <v>76</v>
      </c>
      <c r="B19" s="38" t="s">
        <v>61</v>
      </c>
      <c r="C19" s="39" t="s">
        <v>61</v>
      </c>
      <c r="D19" s="40" t="s">
        <v>61</v>
      </c>
      <c r="E19" s="39" t="s">
        <v>61</v>
      </c>
      <c r="F19" s="38" t="s">
        <v>61</v>
      </c>
      <c r="G19" s="39" t="s">
        <v>61</v>
      </c>
      <c r="H19" s="38" t="s">
        <v>61</v>
      </c>
      <c r="I19" s="41" t="s">
        <v>61</v>
      </c>
      <c r="J19" s="38" t="s">
        <v>61</v>
      </c>
      <c r="K19" s="39" t="s">
        <v>61</v>
      </c>
      <c r="L19" s="40" t="s">
        <v>61</v>
      </c>
      <c r="M19" s="41" t="s">
        <v>61</v>
      </c>
      <c r="N19" s="38" t="s">
        <v>61</v>
      </c>
      <c r="O19" s="39" t="s">
        <v>61</v>
      </c>
      <c r="P19" s="40" t="s">
        <v>61</v>
      </c>
      <c r="Q19" s="39" t="s">
        <v>61</v>
      </c>
      <c r="R19" s="40" t="s">
        <v>61</v>
      </c>
      <c r="S19" s="41" t="s">
        <v>61</v>
      </c>
      <c r="T19" s="38" t="s">
        <v>61</v>
      </c>
      <c r="U19" s="39" t="s">
        <v>61</v>
      </c>
      <c r="V19" s="38" t="s">
        <v>61</v>
      </c>
      <c r="W19" s="39" t="s">
        <v>61</v>
      </c>
      <c r="X19" s="38" t="s">
        <v>61</v>
      </c>
      <c r="Y19" s="39" t="s">
        <v>61</v>
      </c>
      <c r="Z19" s="40" t="s">
        <v>61</v>
      </c>
      <c r="AA19" s="39" t="s">
        <v>61</v>
      </c>
      <c r="AB19" s="38" t="s">
        <v>61</v>
      </c>
      <c r="AC19" s="39" t="s">
        <v>61</v>
      </c>
      <c r="AD19" s="38" t="s">
        <v>61</v>
      </c>
      <c r="AE19" s="39" t="s">
        <v>61</v>
      </c>
      <c r="AF19" s="38" t="s">
        <v>61</v>
      </c>
      <c r="AG19" s="39" t="s">
        <v>61</v>
      </c>
      <c r="AH19" s="38" t="s">
        <v>61</v>
      </c>
      <c r="AI19" s="39" t="s">
        <v>61</v>
      </c>
      <c r="AJ19" s="38" t="s">
        <v>61</v>
      </c>
      <c r="AK19" s="39" t="s">
        <v>61</v>
      </c>
      <c r="AL19" s="38" t="s">
        <v>61</v>
      </c>
      <c r="AM19" s="39" t="s">
        <v>61</v>
      </c>
      <c r="AN19" s="38" t="s">
        <v>61</v>
      </c>
      <c r="AO19" s="39" t="s">
        <v>61</v>
      </c>
      <c r="AP19" s="38" t="s">
        <v>61</v>
      </c>
      <c r="AQ19" s="41" t="s">
        <v>61</v>
      </c>
      <c r="AR19" s="38" t="s">
        <v>61</v>
      </c>
      <c r="AS19" s="39" t="s">
        <v>61</v>
      </c>
      <c r="AT19" s="38" t="s">
        <v>61</v>
      </c>
      <c r="AU19" s="41" t="s">
        <v>61</v>
      </c>
      <c r="AV19" s="38" t="s">
        <v>61</v>
      </c>
      <c r="AW19" s="39" t="s">
        <v>61</v>
      </c>
      <c r="AX19" s="38" t="s">
        <v>61</v>
      </c>
      <c r="AY19" s="39" t="s">
        <v>61</v>
      </c>
      <c r="AZ19" s="38" t="s">
        <v>61</v>
      </c>
      <c r="BA19" s="41" t="s">
        <v>61</v>
      </c>
      <c r="BB19" s="38" t="s">
        <v>61</v>
      </c>
      <c r="BC19" s="39" t="s">
        <v>61</v>
      </c>
      <c r="BD19" s="40" t="s">
        <v>61</v>
      </c>
      <c r="BE19" s="39" t="s">
        <v>61</v>
      </c>
      <c r="BF19" s="40" t="s">
        <v>61</v>
      </c>
      <c r="BG19" s="39" t="s">
        <v>61</v>
      </c>
      <c r="BH19" s="38" t="s">
        <v>61</v>
      </c>
      <c r="BI19" s="39" t="s">
        <v>61</v>
      </c>
      <c r="BJ19" s="38" t="s">
        <v>61</v>
      </c>
      <c r="BK19" s="39" t="s">
        <v>61</v>
      </c>
      <c r="BL19" s="38" t="s">
        <v>61</v>
      </c>
      <c r="BM19" s="39" t="s">
        <v>61</v>
      </c>
      <c r="BN19" s="40" t="s">
        <v>61</v>
      </c>
      <c r="BO19" s="39" t="s">
        <v>61</v>
      </c>
      <c r="BP19" s="42"/>
    </row>
    <row r="20" spans="1:68" s="43" customFormat="1" ht="24.95" customHeight="1" thickBot="1" x14ac:dyDescent="0.3">
      <c r="A20" s="46" t="s">
        <v>77</v>
      </c>
      <c r="B20" s="47">
        <v>0.71</v>
      </c>
      <c r="C20" s="48">
        <v>0.05</v>
      </c>
      <c r="D20" s="33">
        <v>0.66</v>
      </c>
      <c r="E20" s="48">
        <v>0.05</v>
      </c>
      <c r="F20" s="31">
        <v>0.65</v>
      </c>
      <c r="G20" s="32">
        <v>0.05</v>
      </c>
      <c r="H20" s="31">
        <v>0.62</v>
      </c>
      <c r="I20" s="34">
        <v>0.06</v>
      </c>
      <c r="J20" s="47">
        <v>0.59</v>
      </c>
      <c r="K20" s="48">
        <v>0.06</v>
      </c>
      <c r="L20" s="33">
        <v>0.56000000000000005</v>
      </c>
      <c r="M20" s="34">
        <v>0.06</v>
      </c>
      <c r="N20" s="47">
        <v>0.53</v>
      </c>
      <c r="O20" s="49">
        <v>0.06</v>
      </c>
      <c r="P20" s="50">
        <v>0.5</v>
      </c>
      <c r="Q20" s="48">
        <v>7.0000000000000007E-2</v>
      </c>
      <c r="R20" s="50">
        <v>0.46</v>
      </c>
      <c r="S20" s="51">
        <v>7.0000000000000007E-2</v>
      </c>
      <c r="T20" s="47">
        <v>0.43</v>
      </c>
      <c r="U20" s="48">
        <v>0.08</v>
      </c>
      <c r="V20" s="47">
        <v>0.4</v>
      </c>
      <c r="W20" s="48">
        <v>0.06</v>
      </c>
      <c r="X20" s="47">
        <v>0.37</v>
      </c>
      <c r="Y20" s="48">
        <v>0.09</v>
      </c>
      <c r="Z20" s="52">
        <v>0.33</v>
      </c>
      <c r="AA20" s="48">
        <v>0.1</v>
      </c>
      <c r="AB20" s="47">
        <v>0.3</v>
      </c>
      <c r="AC20" s="48">
        <v>0.11</v>
      </c>
      <c r="AD20" s="31">
        <v>0.26</v>
      </c>
      <c r="AE20" s="53">
        <v>0.12</v>
      </c>
      <c r="AF20" s="47">
        <v>0.22</v>
      </c>
      <c r="AG20" s="48">
        <v>0.14000000000000001</v>
      </c>
      <c r="AH20" s="54">
        <v>0.19</v>
      </c>
      <c r="AI20" s="55">
        <v>0.19</v>
      </c>
      <c r="AJ20" s="47">
        <v>0.15</v>
      </c>
      <c r="AK20" s="48">
        <v>0.22</v>
      </c>
      <c r="AL20" s="31">
        <v>0.13</v>
      </c>
      <c r="AM20" s="32">
        <v>0.25</v>
      </c>
      <c r="AN20" s="47">
        <v>0.12</v>
      </c>
      <c r="AO20" s="48">
        <v>0.28999999999999998</v>
      </c>
      <c r="AP20" s="56">
        <v>0.1</v>
      </c>
      <c r="AQ20" s="51">
        <v>0.33</v>
      </c>
      <c r="AR20" s="31">
        <v>0.09</v>
      </c>
      <c r="AS20" s="48">
        <v>0.37</v>
      </c>
      <c r="AT20" s="47">
        <v>0.09</v>
      </c>
      <c r="AU20" s="51">
        <v>0.41</v>
      </c>
      <c r="AV20" s="47">
        <v>0.08</v>
      </c>
      <c r="AW20" s="48">
        <v>0.45</v>
      </c>
      <c r="AX20" s="56">
        <v>7.0000000000000007E-2</v>
      </c>
      <c r="AY20" s="48">
        <v>0.49</v>
      </c>
      <c r="AZ20" s="47">
        <v>7.0000000000000007E-2</v>
      </c>
      <c r="BA20" s="51">
        <v>0.53</v>
      </c>
      <c r="BB20" s="47">
        <v>0.06</v>
      </c>
      <c r="BC20" s="49">
        <v>0.56999999999999995</v>
      </c>
      <c r="BD20" s="33">
        <v>0.06</v>
      </c>
      <c r="BE20" s="32">
        <v>0.61</v>
      </c>
      <c r="BF20" s="52">
        <v>0.06</v>
      </c>
      <c r="BG20" s="49">
        <v>0.65</v>
      </c>
      <c r="BH20" s="31">
        <v>0.06</v>
      </c>
      <c r="BI20" s="32">
        <v>0.69</v>
      </c>
      <c r="BJ20" s="31">
        <v>0.05</v>
      </c>
      <c r="BK20" s="32">
        <v>0.72</v>
      </c>
      <c r="BL20" s="31">
        <v>0.05</v>
      </c>
      <c r="BM20" s="32">
        <v>0.76</v>
      </c>
      <c r="BN20" s="52">
        <v>0.05</v>
      </c>
      <c r="BO20" s="49">
        <v>0.8</v>
      </c>
    </row>
    <row r="21" spans="1:68" ht="73.5" customHeight="1" thickBot="1" x14ac:dyDescent="0.25">
      <c r="A21" s="57" t="s">
        <v>78</v>
      </c>
      <c r="B21" s="58" t="s">
        <v>79</v>
      </c>
      <c r="C21" s="59" t="s">
        <v>80</v>
      </c>
      <c r="D21" s="58" t="s">
        <v>79</v>
      </c>
      <c r="E21" s="59" t="s">
        <v>80</v>
      </c>
      <c r="F21" s="58" t="s">
        <v>79</v>
      </c>
      <c r="G21" s="59" t="s">
        <v>80</v>
      </c>
      <c r="H21" s="58" t="s">
        <v>79</v>
      </c>
      <c r="I21" s="59" t="s">
        <v>80</v>
      </c>
      <c r="J21" s="58" t="s">
        <v>79</v>
      </c>
      <c r="K21" s="59" t="s">
        <v>80</v>
      </c>
      <c r="L21" s="58" t="s">
        <v>79</v>
      </c>
      <c r="M21" s="59" t="s">
        <v>80</v>
      </c>
      <c r="N21" s="58" t="s">
        <v>79</v>
      </c>
      <c r="O21" s="59" t="s">
        <v>80</v>
      </c>
      <c r="P21" s="58" t="s">
        <v>79</v>
      </c>
      <c r="Q21" s="59" t="s">
        <v>80</v>
      </c>
      <c r="R21" s="58" t="s">
        <v>79</v>
      </c>
      <c r="S21" s="59" t="s">
        <v>80</v>
      </c>
      <c r="T21" s="58" t="s">
        <v>79</v>
      </c>
      <c r="U21" s="59" t="s">
        <v>80</v>
      </c>
      <c r="V21" s="58" t="s">
        <v>79</v>
      </c>
      <c r="W21" s="59" t="s">
        <v>80</v>
      </c>
      <c r="X21" s="58" t="s">
        <v>79</v>
      </c>
      <c r="Y21" s="59" t="s">
        <v>80</v>
      </c>
      <c r="Z21" s="58" t="s">
        <v>79</v>
      </c>
      <c r="AA21" s="59" t="s">
        <v>80</v>
      </c>
      <c r="AB21" s="58" t="s">
        <v>79</v>
      </c>
      <c r="AC21" s="59" t="s">
        <v>80</v>
      </c>
      <c r="AD21" s="58" t="s">
        <v>79</v>
      </c>
      <c r="AE21" s="59" t="s">
        <v>80</v>
      </c>
      <c r="AF21" s="58" t="s">
        <v>79</v>
      </c>
      <c r="AG21" s="59" t="s">
        <v>80</v>
      </c>
      <c r="AH21" s="58" t="s">
        <v>79</v>
      </c>
      <c r="AI21" s="59" t="s">
        <v>80</v>
      </c>
      <c r="AJ21" s="58" t="s">
        <v>79</v>
      </c>
      <c r="AK21" s="59" t="s">
        <v>80</v>
      </c>
      <c r="AL21" s="58" t="s">
        <v>79</v>
      </c>
      <c r="AM21" s="59" t="s">
        <v>80</v>
      </c>
      <c r="AN21" s="58" t="s">
        <v>79</v>
      </c>
      <c r="AO21" s="59" t="s">
        <v>80</v>
      </c>
      <c r="AP21" s="58" t="s">
        <v>79</v>
      </c>
      <c r="AQ21" s="59" t="s">
        <v>80</v>
      </c>
      <c r="AR21" s="58" t="s">
        <v>79</v>
      </c>
      <c r="AS21" s="59" t="s">
        <v>80</v>
      </c>
      <c r="AT21" s="58" t="s">
        <v>79</v>
      </c>
      <c r="AU21" s="59" t="s">
        <v>80</v>
      </c>
      <c r="AV21" s="58" t="s">
        <v>79</v>
      </c>
      <c r="AW21" s="59" t="s">
        <v>80</v>
      </c>
      <c r="AX21" s="58" t="s">
        <v>79</v>
      </c>
      <c r="AY21" s="59" t="s">
        <v>80</v>
      </c>
      <c r="AZ21" s="58" t="s">
        <v>79</v>
      </c>
      <c r="BA21" s="59" t="s">
        <v>80</v>
      </c>
      <c r="BB21" s="58" t="s">
        <v>79</v>
      </c>
      <c r="BC21" s="59" t="s">
        <v>80</v>
      </c>
      <c r="BD21" s="58" t="s">
        <v>79</v>
      </c>
      <c r="BE21" s="59" t="s">
        <v>80</v>
      </c>
      <c r="BF21" s="58" t="s">
        <v>79</v>
      </c>
      <c r="BG21" s="59" t="s">
        <v>80</v>
      </c>
      <c r="BH21" s="58" t="s">
        <v>79</v>
      </c>
      <c r="BI21" s="59" t="s">
        <v>80</v>
      </c>
      <c r="BJ21" s="58" t="s">
        <v>79</v>
      </c>
      <c r="BK21" s="59" t="s">
        <v>80</v>
      </c>
      <c r="BL21" s="58" t="s">
        <v>79</v>
      </c>
      <c r="BM21" s="59" t="s">
        <v>80</v>
      </c>
      <c r="BN21" s="58" t="s">
        <v>79</v>
      </c>
      <c r="BO21" s="59" t="s">
        <v>80</v>
      </c>
    </row>
    <row r="22" spans="1:68" ht="24.95" customHeight="1" thickBot="1" x14ac:dyDescent="0.25">
      <c r="A22" s="182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4"/>
    </row>
    <row r="23" spans="1:68" ht="15" customHeight="1" x14ac:dyDescent="0.3">
      <c r="A23" s="61"/>
      <c r="B23" s="62"/>
    </row>
    <row r="24" spans="1:68" ht="15" customHeight="1" x14ac:dyDescent="0.2">
      <c r="A24" s="64" t="s">
        <v>81</v>
      </c>
      <c r="B24" s="65"/>
    </row>
    <row r="25" spans="1:68" ht="15" customHeight="1" x14ac:dyDescent="0.3">
      <c r="A25" s="66" t="s">
        <v>11</v>
      </c>
      <c r="B25" s="62"/>
    </row>
    <row r="26" spans="1:68" ht="15" customHeight="1" x14ac:dyDescent="0.2">
      <c r="A26" s="66" t="s">
        <v>0</v>
      </c>
    </row>
    <row r="27" spans="1:68" ht="15" customHeight="1" x14ac:dyDescent="0.3">
      <c r="A27" s="66" t="s">
        <v>12</v>
      </c>
      <c r="B27" s="62"/>
    </row>
    <row r="28" spans="1:68" ht="15" customHeight="1" x14ac:dyDescent="0.2">
      <c r="A28" s="66" t="s">
        <v>1</v>
      </c>
      <c r="B28" s="65"/>
    </row>
    <row r="29" spans="1:68" ht="15" customHeight="1" x14ac:dyDescent="0.2">
      <c r="A29" s="66" t="s">
        <v>82</v>
      </c>
    </row>
    <row r="30" spans="1:68" ht="15.75" x14ac:dyDescent="0.25">
      <c r="B30" s="67"/>
    </row>
    <row r="31" spans="1:68" ht="15" x14ac:dyDescent="0.2">
      <c r="B31" s="65"/>
    </row>
  </sheetData>
  <sheetProtection selectLockedCells="1"/>
  <mergeCells count="100">
    <mergeCell ref="L1:M1"/>
    <mergeCell ref="B1:C1"/>
    <mergeCell ref="D1:E1"/>
    <mergeCell ref="F1:G1"/>
    <mergeCell ref="H1:I1"/>
    <mergeCell ref="J1:K1"/>
    <mergeCell ref="AJ1:AK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BH1:BI1"/>
    <mergeCell ref="AL1:AM1"/>
    <mergeCell ref="AN1:AO1"/>
    <mergeCell ref="AP1:AQ1"/>
    <mergeCell ref="AR1:AS1"/>
    <mergeCell ref="AT1:AU1"/>
    <mergeCell ref="AV1:AW1"/>
    <mergeCell ref="Z2:AA2"/>
    <mergeCell ref="BJ1:BK1"/>
    <mergeCell ref="BL1:BM1"/>
    <mergeCell ref="BN1:BO1"/>
    <mergeCell ref="B2:C2"/>
    <mergeCell ref="D2:E2"/>
    <mergeCell ref="F2:G2"/>
    <mergeCell ref="H2:I2"/>
    <mergeCell ref="J2:K2"/>
    <mergeCell ref="L2:M2"/>
    <mergeCell ref="N2:O2"/>
    <mergeCell ref="AX1:AY1"/>
    <mergeCell ref="AZ1:BA1"/>
    <mergeCell ref="BB1:BC1"/>
    <mergeCell ref="BD1:BE1"/>
    <mergeCell ref="BF1:BG1"/>
    <mergeCell ref="P2:Q2"/>
    <mergeCell ref="R2:S2"/>
    <mergeCell ref="T2:U2"/>
    <mergeCell ref="V2:W2"/>
    <mergeCell ref="X2:Y2"/>
    <mergeCell ref="AX2:AY2"/>
    <mergeCell ref="AB2:AC2"/>
    <mergeCell ref="AD2:AE2"/>
    <mergeCell ref="AF2:AG2"/>
    <mergeCell ref="AH2:AI2"/>
    <mergeCell ref="AJ2:AK2"/>
    <mergeCell ref="AL2:AM2"/>
    <mergeCell ref="AN2:AO2"/>
    <mergeCell ref="AP2:AQ2"/>
    <mergeCell ref="AR2:AS2"/>
    <mergeCell ref="AT2:AU2"/>
    <mergeCell ref="AV2:AW2"/>
    <mergeCell ref="BL2:BM2"/>
    <mergeCell ref="BN2:BO2"/>
    <mergeCell ref="B3:C3"/>
    <mergeCell ref="D3:E3"/>
    <mergeCell ref="F3:G3"/>
    <mergeCell ref="H3:I3"/>
    <mergeCell ref="J3:K3"/>
    <mergeCell ref="L3:M3"/>
    <mergeCell ref="N3:O3"/>
    <mergeCell ref="P3:Q3"/>
    <mergeCell ref="AZ2:BA2"/>
    <mergeCell ref="BB2:BC2"/>
    <mergeCell ref="BD2:BE2"/>
    <mergeCell ref="BF2:BG2"/>
    <mergeCell ref="BH2:BI2"/>
    <mergeCell ref="BJ2:BK2"/>
    <mergeCell ref="AH3:AI3"/>
    <mergeCell ref="AJ3:AK3"/>
    <mergeCell ref="AL3:AM3"/>
    <mergeCell ref="AN3:AO3"/>
    <mergeCell ref="R3:S3"/>
    <mergeCell ref="T3:U3"/>
    <mergeCell ref="V3:W3"/>
    <mergeCell ref="X3:Y3"/>
    <mergeCell ref="Z3:AA3"/>
    <mergeCell ref="AB3:AC3"/>
    <mergeCell ref="BN3:BO3"/>
    <mergeCell ref="A22:BO22"/>
    <mergeCell ref="BB3:BC3"/>
    <mergeCell ref="BD3:BE3"/>
    <mergeCell ref="BF3:BG3"/>
    <mergeCell ref="BH3:BI3"/>
    <mergeCell ref="BJ3:BK3"/>
    <mergeCell ref="BL3:BM3"/>
    <mergeCell ref="AP3:AQ3"/>
    <mergeCell ref="AR3:AS3"/>
    <mergeCell ref="AT3:AU3"/>
    <mergeCell ref="AV3:AW3"/>
    <mergeCell ref="AX3:AY3"/>
    <mergeCell ref="AZ3:BA3"/>
    <mergeCell ref="AD3:AE3"/>
    <mergeCell ref="AF3:AG3"/>
  </mergeCells>
  <printOptions horizontalCentered="1"/>
  <pageMargins left="0.75" right="0.75" top="1" bottom="1" header="0.5" footer="0.5"/>
  <pageSetup scale="75" orientation="portrait" r:id="rId1"/>
  <headerFooter alignWithMargins="0">
    <oddHeader>&amp;LForce Ratio Calulator v3.0&amp;C&amp;18Battle Damage Table&amp;R&amp;D</oddHeader>
    <oddFooter>&amp;L&amp;F&amp;R&amp;A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T200"/>
  <sheetViews>
    <sheetView zoomScale="60" zoomScaleNormal="60" workbookViewId="0">
      <selection activeCell="B7" sqref="B7"/>
    </sheetView>
  </sheetViews>
  <sheetFormatPr defaultColWidth="9.140625" defaultRowHeight="72" customHeight="1" x14ac:dyDescent="0.25"/>
  <cols>
    <col min="1" max="1" width="37" style="144" customWidth="1"/>
    <col min="2" max="2" width="24.7109375" style="6" bestFit="1" customWidth="1"/>
    <col min="3" max="3" width="20" style="6" customWidth="1"/>
    <col min="4" max="4" width="38.28515625" style="144" customWidth="1"/>
    <col min="5" max="5" width="24.7109375" style="6" bestFit="1" customWidth="1"/>
    <col min="6" max="6" width="20" style="6" customWidth="1"/>
    <col min="7" max="7" width="9.140625" style="2"/>
    <col min="8" max="8" width="5" style="2" customWidth="1"/>
    <col min="9" max="18" width="9.140625" style="2"/>
    <col min="19" max="19" width="13" style="2" hidden="1" customWidth="1"/>
    <col min="20" max="20" width="26.85546875" style="2" hidden="1" customWidth="1"/>
    <col min="21" max="16384" width="9.140625" style="2"/>
  </cols>
  <sheetData>
    <row r="1" spans="1:20" ht="72" customHeight="1" thickBot="1" x14ac:dyDescent="0.3">
      <c r="A1" s="206" t="s">
        <v>79</v>
      </c>
      <c r="B1" s="207"/>
      <c r="C1" s="208"/>
      <c r="D1" s="209" t="s">
        <v>80</v>
      </c>
      <c r="E1" s="209"/>
      <c r="F1" s="210"/>
      <c r="G1" s="1"/>
      <c r="H1" s="101"/>
      <c r="I1" s="101"/>
      <c r="J1" s="101"/>
      <c r="K1" s="101"/>
      <c r="L1" s="101"/>
      <c r="M1" s="101"/>
      <c r="N1" s="101"/>
      <c r="O1" s="211" t="s">
        <v>83</v>
      </c>
      <c r="P1" s="211"/>
      <c r="Q1" s="211"/>
    </row>
    <row r="2" spans="1:20" s="5" customFormat="1" ht="72" customHeight="1" thickBot="1" x14ac:dyDescent="0.3">
      <c r="A2" s="147" t="s">
        <v>84</v>
      </c>
      <c r="B2" s="148" t="s">
        <v>85</v>
      </c>
      <c r="C2" s="148" t="s">
        <v>86</v>
      </c>
      <c r="D2" s="149" t="s">
        <v>84</v>
      </c>
      <c r="E2" s="151" t="s">
        <v>85</v>
      </c>
      <c r="F2" s="150" t="s">
        <v>86</v>
      </c>
      <c r="G2" s="3"/>
      <c r="H2" s="4" t="s">
        <v>87</v>
      </c>
      <c r="I2" s="102"/>
      <c r="J2" s="102"/>
      <c r="K2" s="102"/>
      <c r="L2" s="102"/>
      <c r="M2" s="102"/>
      <c r="N2" s="102"/>
      <c r="O2" s="212" t="s">
        <v>88</v>
      </c>
      <c r="P2" s="212"/>
      <c r="Q2" s="102">
        <v>1</v>
      </c>
      <c r="S2" s="5" t="s">
        <v>257</v>
      </c>
      <c r="T2" s="5" t="s">
        <v>256</v>
      </c>
    </row>
    <row r="3" spans="1:20" s="5" customFormat="1" ht="72" customHeight="1" x14ac:dyDescent="0.25">
      <c r="A3" s="152" t="s">
        <v>15</v>
      </c>
      <c r="B3" s="153">
        <v>208.61</v>
      </c>
      <c r="C3" s="158"/>
      <c r="D3" s="160" t="s">
        <v>14</v>
      </c>
      <c r="E3" s="161">
        <v>274.8</v>
      </c>
      <c r="F3" s="162"/>
      <c r="G3" s="102"/>
      <c r="H3" s="4" t="s">
        <v>89</v>
      </c>
      <c r="I3" s="102"/>
      <c r="J3" s="102"/>
      <c r="K3" s="102"/>
      <c r="L3" s="102"/>
      <c r="M3" s="102"/>
      <c r="N3" s="102"/>
      <c r="O3" s="212" t="s">
        <v>90</v>
      </c>
      <c r="P3" s="212"/>
      <c r="Q3" s="102">
        <f>1-Q2</f>
        <v>0</v>
      </c>
      <c r="S3" s="171" t="s">
        <v>259</v>
      </c>
      <c r="T3" s="171" t="s">
        <v>275</v>
      </c>
    </row>
    <row r="4" spans="1:20" ht="72" customHeight="1" x14ac:dyDescent="0.25">
      <c r="A4" s="154" t="s">
        <v>91</v>
      </c>
      <c r="B4" s="125">
        <v>33.450000000000003</v>
      </c>
      <c r="C4" s="159"/>
      <c r="D4" s="163" t="s">
        <v>92</v>
      </c>
      <c r="E4" s="9">
        <v>42.9</v>
      </c>
      <c r="F4" s="164"/>
      <c r="G4" s="101"/>
      <c r="H4" s="4" t="s">
        <v>93</v>
      </c>
      <c r="I4" s="8"/>
      <c r="J4" s="101"/>
      <c r="K4" s="101"/>
      <c r="L4" s="101"/>
      <c r="M4" s="101"/>
      <c r="N4" s="101"/>
      <c r="O4" s="101"/>
      <c r="P4" s="101"/>
      <c r="Q4" s="101"/>
      <c r="S4" s="2" t="s">
        <v>263</v>
      </c>
      <c r="T4" s="2" t="s">
        <v>265</v>
      </c>
    </row>
    <row r="5" spans="1:20" ht="72" customHeight="1" x14ac:dyDescent="0.25">
      <c r="A5" s="154" t="s">
        <v>94</v>
      </c>
      <c r="B5" s="125">
        <v>8.57</v>
      </c>
      <c r="C5" s="159"/>
      <c r="D5" s="163" t="s">
        <v>95</v>
      </c>
      <c r="E5" s="9">
        <v>8.67</v>
      </c>
      <c r="F5" s="164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S5" s="2" t="s">
        <v>260</v>
      </c>
      <c r="T5" s="2" t="s">
        <v>264</v>
      </c>
    </row>
    <row r="6" spans="1:20" ht="72" customHeight="1" x14ac:dyDescent="0.25">
      <c r="A6" s="154" t="s">
        <v>96</v>
      </c>
      <c r="B6" s="125">
        <v>32.71</v>
      </c>
      <c r="C6" s="159"/>
      <c r="D6" s="163" t="s">
        <v>18</v>
      </c>
      <c r="E6" s="9">
        <v>25.47</v>
      </c>
      <c r="F6" s="164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S6" s="2" t="s">
        <v>261</v>
      </c>
      <c r="T6" s="2" t="s">
        <v>266</v>
      </c>
    </row>
    <row r="7" spans="1:20" ht="72" customHeight="1" x14ac:dyDescent="0.25">
      <c r="A7" s="154" t="s">
        <v>97</v>
      </c>
      <c r="B7" s="125">
        <v>7</v>
      </c>
      <c r="C7" s="159"/>
      <c r="D7" s="163" t="s">
        <v>98</v>
      </c>
      <c r="E7" s="9">
        <v>5.22</v>
      </c>
      <c r="F7" s="164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S7" s="2" t="s">
        <v>258</v>
      </c>
      <c r="T7" s="2" t="s">
        <v>267</v>
      </c>
    </row>
    <row r="8" spans="1:20" ht="72" customHeight="1" x14ac:dyDescent="0.25">
      <c r="A8" s="154" t="s">
        <v>99</v>
      </c>
      <c r="B8" s="125">
        <v>9.2899999999999991</v>
      </c>
      <c r="C8" s="159"/>
      <c r="D8" s="163" t="s">
        <v>100</v>
      </c>
      <c r="E8" s="9">
        <v>21.42</v>
      </c>
      <c r="F8" s="164"/>
      <c r="G8" s="101"/>
      <c r="H8" s="101"/>
      <c r="J8" s="101"/>
      <c r="K8" s="101"/>
      <c r="L8" s="101"/>
      <c r="M8" s="101"/>
      <c r="N8" s="101"/>
      <c r="O8" s="101"/>
      <c r="P8" s="101"/>
      <c r="Q8" s="101"/>
      <c r="S8" s="2" t="s">
        <v>262</v>
      </c>
      <c r="T8" s="2" t="s">
        <v>268</v>
      </c>
    </row>
    <row r="9" spans="1:20" ht="72" customHeight="1" x14ac:dyDescent="0.25">
      <c r="A9" s="154" t="s">
        <v>101</v>
      </c>
      <c r="B9" s="125">
        <v>20.51</v>
      </c>
      <c r="C9" s="159"/>
      <c r="D9" s="163" t="s">
        <v>102</v>
      </c>
      <c r="E9" s="9">
        <v>4.26</v>
      </c>
      <c r="F9" s="164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S9" s="2" t="s">
        <v>270</v>
      </c>
      <c r="T9" s="2" t="s">
        <v>272</v>
      </c>
    </row>
    <row r="10" spans="1:20" ht="72" customHeight="1" x14ac:dyDescent="0.25">
      <c r="A10" s="154" t="s">
        <v>6</v>
      </c>
      <c r="B10" s="125">
        <v>3.45</v>
      </c>
      <c r="C10" s="159"/>
      <c r="D10" s="163" t="s">
        <v>103</v>
      </c>
      <c r="E10" s="9">
        <v>3.24</v>
      </c>
      <c r="F10" s="164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S10" s="2" t="s">
        <v>271</v>
      </c>
      <c r="T10" s="2" t="s">
        <v>273</v>
      </c>
    </row>
    <row r="11" spans="1:20" ht="72" customHeight="1" x14ac:dyDescent="0.25">
      <c r="A11" s="154" t="s">
        <v>104</v>
      </c>
      <c r="B11" s="125">
        <v>18.79</v>
      </c>
      <c r="C11" s="159"/>
      <c r="D11" s="163" t="s">
        <v>105</v>
      </c>
      <c r="E11" s="9">
        <v>8.8699999999999992</v>
      </c>
      <c r="F11" s="164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S11" s="2" t="s">
        <v>269</v>
      </c>
      <c r="T11" s="2" t="s">
        <v>274</v>
      </c>
    </row>
    <row r="12" spans="1:20" ht="72" customHeight="1" x14ac:dyDescent="0.25">
      <c r="A12" s="154" t="s">
        <v>8</v>
      </c>
      <c r="B12" s="125">
        <v>6.45</v>
      </c>
      <c r="C12" s="159"/>
      <c r="D12" s="163" t="s">
        <v>106</v>
      </c>
      <c r="E12" s="9">
        <v>251.05</v>
      </c>
      <c r="F12" s="164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</row>
    <row r="13" spans="1:20" ht="72" customHeight="1" x14ac:dyDescent="0.25">
      <c r="A13" s="154" t="s">
        <v>107</v>
      </c>
      <c r="B13" s="125">
        <v>248.99</v>
      </c>
      <c r="C13" s="159"/>
      <c r="D13" s="163" t="s">
        <v>19</v>
      </c>
      <c r="E13" s="9">
        <v>36.299999999999997</v>
      </c>
      <c r="F13" s="164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</row>
    <row r="14" spans="1:20" ht="72" customHeight="1" x14ac:dyDescent="0.25">
      <c r="A14" s="154" t="s">
        <v>17</v>
      </c>
      <c r="B14" s="125">
        <v>37.24</v>
      </c>
      <c r="C14" s="159"/>
      <c r="D14" s="163" t="s">
        <v>108</v>
      </c>
      <c r="E14" s="9">
        <v>7.1</v>
      </c>
      <c r="F14" s="164"/>
      <c r="G14" s="101"/>
      <c r="H14" s="101"/>
      <c r="I14" s="101"/>
      <c r="J14" s="101"/>
      <c r="K14" s="101"/>
      <c r="L14" s="101"/>
      <c r="Q14" s="101"/>
    </row>
    <row r="15" spans="1:20" ht="72" customHeight="1" x14ac:dyDescent="0.25">
      <c r="A15" s="154" t="s">
        <v>109</v>
      </c>
      <c r="B15" s="125">
        <v>8.9499999999999993</v>
      </c>
      <c r="C15" s="159"/>
      <c r="D15" s="163" t="s">
        <v>110</v>
      </c>
      <c r="E15" s="9">
        <v>269.35000000000002</v>
      </c>
      <c r="F15" s="164"/>
      <c r="G15" s="101"/>
      <c r="H15" s="101"/>
      <c r="I15" s="101"/>
      <c r="J15" s="101"/>
      <c r="K15" s="101"/>
      <c r="L15" s="101"/>
      <c r="Q15" s="101"/>
    </row>
    <row r="16" spans="1:20" ht="72" customHeight="1" x14ac:dyDescent="0.25">
      <c r="A16" s="154" t="s">
        <v>7</v>
      </c>
      <c r="B16" s="125">
        <v>7.8</v>
      </c>
      <c r="C16" s="159"/>
      <c r="D16" s="163" t="s">
        <v>111</v>
      </c>
      <c r="E16" s="9">
        <v>41.12</v>
      </c>
      <c r="F16" s="164"/>
      <c r="G16" s="101"/>
      <c r="H16" s="101"/>
      <c r="I16" s="101"/>
      <c r="J16" s="101"/>
      <c r="K16" s="101"/>
      <c r="L16" s="101"/>
      <c r="Q16" s="101"/>
    </row>
    <row r="17" spans="1:9" ht="72" customHeight="1" x14ac:dyDescent="0.25">
      <c r="A17" s="154" t="s">
        <v>23</v>
      </c>
      <c r="B17" s="125">
        <v>39.880000000000003</v>
      </c>
      <c r="C17" s="84"/>
      <c r="D17" s="163" t="s">
        <v>112</v>
      </c>
      <c r="E17" s="9">
        <v>8.3000000000000007</v>
      </c>
      <c r="F17" s="164"/>
      <c r="H17"/>
      <c r="I17"/>
    </row>
    <row r="18" spans="1:9" ht="72" customHeight="1" x14ac:dyDescent="0.25">
      <c r="A18" s="154" t="s">
        <v>113</v>
      </c>
      <c r="B18" s="125">
        <v>8.5500000000000007</v>
      </c>
      <c r="C18" s="84"/>
      <c r="D18" s="163" t="s">
        <v>179</v>
      </c>
      <c r="E18" s="9">
        <v>28.96</v>
      </c>
      <c r="F18" s="164"/>
      <c r="H18"/>
      <c r="I18"/>
    </row>
    <row r="19" spans="1:9" ht="72" customHeight="1" x14ac:dyDescent="0.25">
      <c r="A19" s="154" t="s">
        <v>114</v>
      </c>
      <c r="B19" s="125">
        <v>28.13</v>
      </c>
      <c r="C19" s="84"/>
      <c r="D19" s="163" t="s">
        <v>180</v>
      </c>
      <c r="E19" s="9">
        <v>6.34</v>
      </c>
      <c r="F19" s="164"/>
      <c r="H19"/>
      <c r="I19"/>
    </row>
    <row r="20" spans="1:9" ht="72" customHeight="1" x14ac:dyDescent="0.25">
      <c r="A20" s="154" t="s">
        <v>115</v>
      </c>
      <c r="B20" s="125">
        <v>5.87</v>
      </c>
      <c r="C20" s="84"/>
      <c r="D20" s="163" t="s">
        <v>181</v>
      </c>
      <c r="E20" s="9">
        <v>21.42</v>
      </c>
      <c r="F20" s="164"/>
      <c r="H20"/>
      <c r="I20"/>
    </row>
    <row r="21" spans="1:9" ht="72" customHeight="1" x14ac:dyDescent="0.25">
      <c r="A21" s="154" t="s">
        <v>22</v>
      </c>
      <c r="B21" s="125">
        <v>21.31</v>
      </c>
      <c r="C21" s="84"/>
      <c r="D21" s="163" t="s">
        <v>182</v>
      </c>
      <c r="E21" s="9">
        <v>4.26</v>
      </c>
      <c r="F21" s="164"/>
      <c r="H21"/>
      <c r="I21"/>
    </row>
    <row r="22" spans="1:9" ht="72" customHeight="1" x14ac:dyDescent="0.25">
      <c r="A22" s="154" t="s">
        <v>116</v>
      </c>
      <c r="B22" s="125">
        <v>7.95</v>
      </c>
      <c r="C22" s="84"/>
      <c r="D22" s="163" t="s">
        <v>183</v>
      </c>
      <c r="E22" s="9">
        <v>8.8699999999999992</v>
      </c>
      <c r="F22" s="164"/>
      <c r="H22"/>
      <c r="I22"/>
    </row>
    <row r="23" spans="1:9" ht="72" customHeight="1" x14ac:dyDescent="0.25">
      <c r="A23" s="154" t="s">
        <v>117</v>
      </c>
      <c r="B23" s="125">
        <v>131.30000000000001</v>
      </c>
      <c r="C23" s="84"/>
      <c r="D23" s="163" t="s">
        <v>184</v>
      </c>
      <c r="E23" s="9">
        <v>15.31</v>
      </c>
      <c r="F23" s="164"/>
      <c r="H23"/>
      <c r="I23"/>
    </row>
    <row r="24" spans="1:9" ht="72" customHeight="1" x14ac:dyDescent="0.25">
      <c r="A24" s="154" t="s">
        <v>118</v>
      </c>
      <c r="B24" s="125">
        <v>19.09</v>
      </c>
      <c r="C24" s="84"/>
      <c r="D24" s="165" t="s">
        <v>21</v>
      </c>
      <c r="E24" s="9">
        <v>211.95</v>
      </c>
      <c r="F24" s="164"/>
      <c r="H24"/>
      <c r="I24"/>
    </row>
    <row r="25" spans="1:9" ht="72" customHeight="1" x14ac:dyDescent="0.25">
      <c r="A25" s="154" t="s">
        <v>119</v>
      </c>
      <c r="B25" s="125">
        <v>2.7</v>
      </c>
      <c r="C25" s="84"/>
      <c r="D25" s="163" t="s">
        <v>185</v>
      </c>
      <c r="E25" s="9">
        <v>222.64</v>
      </c>
      <c r="F25" s="164"/>
      <c r="H25"/>
      <c r="I25"/>
    </row>
    <row r="26" spans="1:9" ht="72" customHeight="1" x14ac:dyDescent="0.25">
      <c r="A26" s="154" t="s">
        <v>120</v>
      </c>
      <c r="B26" s="125">
        <v>4.38</v>
      </c>
      <c r="C26" s="84"/>
      <c r="D26" s="163" t="s">
        <v>186</v>
      </c>
      <c r="E26" s="9">
        <v>230.49</v>
      </c>
      <c r="F26" s="164"/>
      <c r="H26"/>
      <c r="I26"/>
    </row>
    <row r="27" spans="1:9" ht="72" customHeight="1" x14ac:dyDescent="0.25">
      <c r="A27" s="154" t="s">
        <v>121</v>
      </c>
      <c r="B27" s="125">
        <v>14.16</v>
      </c>
      <c r="C27" s="84"/>
      <c r="D27" s="163" t="s">
        <v>187</v>
      </c>
      <c r="E27" s="9">
        <v>28.01</v>
      </c>
      <c r="F27" s="164"/>
      <c r="H27"/>
      <c r="I27"/>
    </row>
    <row r="28" spans="1:9" ht="72" customHeight="1" x14ac:dyDescent="0.25">
      <c r="A28" s="154" t="s">
        <v>122</v>
      </c>
      <c r="B28" s="125">
        <v>5.01</v>
      </c>
      <c r="C28" s="84"/>
      <c r="D28" s="163" t="s">
        <v>188</v>
      </c>
      <c r="E28" s="9">
        <v>6.04</v>
      </c>
      <c r="F28" s="164"/>
      <c r="H28"/>
      <c r="I28"/>
    </row>
    <row r="29" spans="1:9" ht="72" customHeight="1" x14ac:dyDescent="0.25">
      <c r="A29" s="154" t="s">
        <v>123</v>
      </c>
      <c r="B29" s="125">
        <v>17.600000000000001</v>
      </c>
      <c r="C29" s="84"/>
      <c r="D29" s="163" t="s">
        <v>189</v>
      </c>
      <c r="E29" s="9">
        <v>7.24</v>
      </c>
      <c r="F29" s="164"/>
      <c r="H29"/>
      <c r="I29"/>
    </row>
    <row r="30" spans="1:9" ht="72" customHeight="1" x14ac:dyDescent="0.25">
      <c r="A30" s="154" t="s">
        <v>124</v>
      </c>
      <c r="B30" s="125">
        <v>3.31</v>
      </c>
      <c r="C30" s="84"/>
      <c r="D30" s="163" t="s">
        <v>190</v>
      </c>
      <c r="E30" s="9">
        <v>16.13</v>
      </c>
      <c r="F30" s="164"/>
      <c r="H30"/>
      <c r="I30"/>
    </row>
    <row r="31" spans="1:9" ht="72" customHeight="1" x14ac:dyDescent="0.25">
      <c r="A31" s="154" t="s">
        <v>125</v>
      </c>
      <c r="B31" s="125">
        <v>4.0999999999999996</v>
      </c>
      <c r="C31" s="84"/>
      <c r="D31" s="163" t="s">
        <v>191</v>
      </c>
      <c r="E31" s="9">
        <v>240.18</v>
      </c>
      <c r="F31" s="164"/>
      <c r="H31"/>
      <c r="I31"/>
    </row>
    <row r="32" spans="1:9" ht="72" customHeight="1" x14ac:dyDescent="0.25">
      <c r="A32" s="154" t="s">
        <v>126</v>
      </c>
      <c r="B32" s="125">
        <v>13.17</v>
      </c>
      <c r="C32" s="84"/>
      <c r="D32" s="163" t="s">
        <v>192</v>
      </c>
      <c r="E32" s="9">
        <v>31.55</v>
      </c>
      <c r="F32" s="164"/>
      <c r="H32"/>
      <c r="I32"/>
    </row>
    <row r="33" spans="1:9" ht="72" customHeight="1" x14ac:dyDescent="0.25">
      <c r="A33" s="154" t="s">
        <v>127</v>
      </c>
      <c r="B33" s="125">
        <v>3.75</v>
      </c>
      <c r="C33" s="84"/>
      <c r="D33" s="163" t="s">
        <v>193</v>
      </c>
      <c r="E33" s="9">
        <v>5.57</v>
      </c>
      <c r="F33" s="164"/>
      <c r="H33"/>
      <c r="I33"/>
    </row>
    <row r="34" spans="1:9" ht="72" customHeight="1" x14ac:dyDescent="0.25">
      <c r="A34" s="154" t="s">
        <v>13</v>
      </c>
      <c r="B34" s="126">
        <v>313.60000000000002</v>
      </c>
      <c r="C34" s="84"/>
      <c r="D34" s="163" t="s">
        <v>194</v>
      </c>
      <c r="E34" s="9">
        <v>28.79</v>
      </c>
      <c r="F34" s="164"/>
      <c r="H34"/>
      <c r="I34"/>
    </row>
    <row r="35" spans="1:9" ht="72" customHeight="1" x14ac:dyDescent="0.25">
      <c r="A35" s="154" t="s">
        <v>128</v>
      </c>
      <c r="B35" s="126">
        <v>19.100000000000001</v>
      </c>
      <c r="C35" s="84"/>
      <c r="D35" s="163" t="s">
        <v>195</v>
      </c>
      <c r="E35" s="9">
        <v>6.29</v>
      </c>
      <c r="F35" s="164"/>
      <c r="H35"/>
      <c r="I35"/>
    </row>
    <row r="36" spans="1:9" ht="72" customHeight="1" x14ac:dyDescent="0.25">
      <c r="A36" s="154" t="s">
        <v>129</v>
      </c>
      <c r="B36" s="126">
        <v>45.97</v>
      </c>
      <c r="C36" s="84"/>
      <c r="D36" s="163" t="s">
        <v>196</v>
      </c>
      <c r="E36" s="9">
        <v>16.850000000000001</v>
      </c>
      <c r="F36" s="164"/>
      <c r="H36"/>
      <c r="I36"/>
    </row>
    <row r="37" spans="1:9" ht="72" customHeight="1" x14ac:dyDescent="0.25">
      <c r="A37" s="154" t="s">
        <v>130</v>
      </c>
      <c r="B37" s="126">
        <v>41.25</v>
      </c>
      <c r="C37" s="84"/>
      <c r="D37" s="163" t="s">
        <v>197</v>
      </c>
      <c r="E37" s="9">
        <v>2.73</v>
      </c>
      <c r="F37" s="164"/>
      <c r="H37"/>
      <c r="I37"/>
    </row>
    <row r="38" spans="1:9" ht="72" customHeight="1" x14ac:dyDescent="0.25">
      <c r="A38" s="154" t="s">
        <v>131</v>
      </c>
      <c r="B38" s="126">
        <v>19.09</v>
      </c>
      <c r="C38" s="84"/>
      <c r="D38" s="163" t="s">
        <v>198</v>
      </c>
      <c r="E38" s="9">
        <v>9.83</v>
      </c>
      <c r="F38" s="164"/>
      <c r="H38"/>
      <c r="I38"/>
    </row>
    <row r="39" spans="1:9" ht="72" customHeight="1" x14ac:dyDescent="0.25">
      <c r="A39" s="154" t="s">
        <v>132</v>
      </c>
      <c r="B39" s="126">
        <v>41.91</v>
      </c>
      <c r="C39" s="84"/>
      <c r="D39" s="163" t="s">
        <v>199</v>
      </c>
      <c r="E39" s="9">
        <v>16.03</v>
      </c>
      <c r="F39" s="164"/>
      <c r="H39"/>
      <c r="I39"/>
    </row>
    <row r="40" spans="1:9" ht="72" customHeight="1" x14ac:dyDescent="0.25">
      <c r="A40" s="154" t="s">
        <v>133</v>
      </c>
      <c r="B40" s="126">
        <v>33.42</v>
      </c>
      <c r="C40" s="84"/>
      <c r="D40" s="163" t="s">
        <v>200</v>
      </c>
      <c r="E40" s="9">
        <v>192.89</v>
      </c>
      <c r="F40" s="164"/>
      <c r="H40"/>
      <c r="I40"/>
    </row>
    <row r="41" spans="1:9" ht="72" customHeight="1" x14ac:dyDescent="0.25">
      <c r="A41" s="154" t="s">
        <v>134</v>
      </c>
      <c r="B41" s="126">
        <v>26.54</v>
      </c>
      <c r="C41" s="84"/>
      <c r="D41" s="163" t="s">
        <v>20</v>
      </c>
      <c r="E41" s="9">
        <v>30.3</v>
      </c>
      <c r="F41" s="164"/>
      <c r="H41"/>
      <c r="I41"/>
    </row>
    <row r="42" spans="1:9" ht="72" customHeight="1" x14ac:dyDescent="0.25">
      <c r="A42" s="154" t="s">
        <v>135</v>
      </c>
      <c r="B42" s="126">
        <v>5.23</v>
      </c>
      <c r="C42" s="84"/>
      <c r="D42" s="163" t="s">
        <v>201</v>
      </c>
      <c r="E42" s="9">
        <v>4.47</v>
      </c>
      <c r="F42" s="164"/>
      <c r="H42"/>
      <c r="I42"/>
    </row>
    <row r="43" spans="1:9" ht="72" customHeight="1" x14ac:dyDescent="0.25">
      <c r="A43" s="154" t="s">
        <v>136</v>
      </c>
      <c r="B43" s="126">
        <v>184.34</v>
      </c>
      <c r="C43" s="84"/>
      <c r="D43" s="163" t="s">
        <v>202</v>
      </c>
      <c r="E43" s="9">
        <v>75.13</v>
      </c>
      <c r="F43" s="164"/>
      <c r="H43"/>
      <c r="I43"/>
    </row>
    <row r="44" spans="1:9" ht="72" customHeight="1" x14ac:dyDescent="0.25">
      <c r="A44" s="154" t="s">
        <v>137</v>
      </c>
      <c r="B44" s="126">
        <v>38.81</v>
      </c>
      <c r="C44" s="84"/>
      <c r="D44" s="163" t="s">
        <v>203</v>
      </c>
      <c r="E44" s="9">
        <v>15.98</v>
      </c>
      <c r="F44" s="164"/>
      <c r="H44"/>
      <c r="I44"/>
    </row>
    <row r="45" spans="1:9" ht="72" customHeight="1" x14ac:dyDescent="0.25">
      <c r="A45" s="154" t="s">
        <v>138</v>
      </c>
      <c r="B45" s="126">
        <v>37.950000000000003</v>
      </c>
      <c r="C45" s="84"/>
      <c r="D45" s="163" t="s">
        <v>204</v>
      </c>
      <c r="E45" s="9">
        <v>8.35</v>
      </c>
      <c r="F45" s="164"/>
      <c r="H45"/>
      <c r="I45"/>
    </row>
    <row r="46" spans="1:9" ht="72" customHeight="1" x14ac:dyDescent="0.25">
      <c r="A46" s="154" t="s">
        <v>139</v>
      </c>
      <c r="B46" s="126">
        <v>28.13</v>
      </c>
      <c r="C46" s="84"/>
      <c r="D46" s="163" t="s">
        <v>205</v>
      </c>
      <c r="E46" s="9">
        <v>3.94</v>
      </c>
      <c r="F46" s="164"/>
      <c r="H46"/>
      <c r="I46"/>
    </row>
    <row r="47" spans="1:9" ht="72" customHeight="1" x14ac:dyDescent="0.25">
      <c r="A47" s="154" t="s">
        <v>140</v>
      </c>
      <c r="B47" s="126">
        <v>100.34769999999999</v>
      </c>
      <c r="C47" s="84"/>
      <c r="D47" s="163" t="s">
        <v>206</v>
      </c>
      <c r="E47" s="9">
        <v>2.81</v>
      </c>
      <c r="F47" s="164"/>
      <c r="H47"/>
      <c r="I47"/>
    </row>
    <row r="48" spans="1:9" ht="72" customHeight="1" x14ac:dyDescent="0.25">
      <c r="A48" s="154" t="s">
        <v>141</v>
      </c>
      <c r="B48" s="126">
        <v>55.396799999999999</v>
      </c>
      <c r="C48" s="84"/>
      <c r="D48" s="163" t="s">
        <v>207</v>
      </c>
      <c r="E48" s="10">
        <v>2.77</v>
      </c>
      <c r="F48" s="164"/>
      <c r="H48"/>
      <c r="I48"/>
    </row>
    <row r="49" spans="1:9" ht="72" customHeight="1" x14ac:dyDescent="0.25">
      <c r="A49" s="154" t="s">
        <v>142</v>
      </c>
      <c r="B49" s="126">
        <v>9.4272000000000009</v>
      </c>
      <c r="C49" s="84"/>
      <c r="D49" s="163" t="s">
        <v>208</v>
      </c>
      <c r="E49" s="9">
        <v>4.1900000000000004</v>
      </c>
      <c r="F49" s="164"/>
      <c r="H49"/>
      <c r="I49"/>
    </row>
    <row r="50" spans="1:9" ht="72" customHeight="1" x14ac:dyDescent="0.25">
      <c r="A50" s="154" t="s">
        <v>143</v>
      </c>
      <c r="B50" s="126">
        <v>25.47</v>
      </c>
      <c r="C50" s="84"/>
      <c r="D50" s="163" t="s">
        <v>209</v>
      </c>
      <c r="E50" s="9">
        <v>1.33</v>
      </c>
      <c r="F50" s="164"/>
      <c r="H50"/>
      <c r="I50"/>
    </row>
    <row r="51" spans="1:9" ht="72" customHeight="1" x14ac:dyDescent="0.25">
      <c r="A51" s="154" t="s">
        <v>144</v>
      </c>
      <c r="B51" s="126">
        <v>5.22</v>
      </c>
      <c r="C51" s="84"/>
      <c r="D51" s="163" t="s">
        <v>210</v>
      </c>
      <c r="E51" s="9">
        <v>2.2200000000000002</v>
      </c>
      <c r="F51" s="164"/>
      <c r="H51"/>
      <c r="I51"/>
    </row>
    <row r="52" spans="1:9" ht="72" customHeight="1" x14ac:dyDescent="0.25">
      <c r="A52" s="154" t="s">
        <v>145</v>
      </c>
      <c r="B52" s="126">
        <v>2.032</v>
      </c>
      <c r="C52" s="84"/>
      <c r="D52" s="163" t="s">
        <v>211</v>
      </c>
      <c r="E52" s="9">
        <v>3.49</v>
      </c>
      <c r="F52" s="164"/>
      <c r="H52"/>
      <c r="I52"/>
    </row>
    <row r="53" spans="1:9" ht="72" customHeight="1" x14ac:dyDescent="0.25">
      <c r="A53" s="154" t="s">
        <v>146</v>
      </c>
      <c r="B53" s="126">
        <v>64.849900000000005</v>
      </c>
      <c r="C53" s="84"/>
      <c r="D53" s="163" t="s">
        <v>212</v>
      </c>
      <c r="E53" s="9">
        <v>29.71</v>
      </c>
      <c r="F53" s="164"/>
      <c r="H53"/>
      <c r="I53"/>
    </row>
    <row r="54" spans="1:9" ht="72" customHeight="1" x14ac:dyDescent="0.25">
      <c r="A54" s="154" t="s">
        <v>147</v>
      </c>
      <c r="B54" s="126">
        <v>124.88609999999998</v>
      </c>
      <c r="C54" s="84"/>
      <c r="D54" s="163" t="s">
        <v>213</v>
      </c>
      <c r="E54" s="9">
        <v>6.6</v>
      </c>
      <c r="F54" s="164"/>
      <c r="H54"/>
      <c r="I54"/>
    </row>
    <row r="55" spans="1:9" ht="72" customHeight="1" x14ac:dyDescent="0.25">
      <c r="A55" s="154" t="s">
        <v>148</v>
      </c>
      <c r="B55" s="126">
        <v>36.299999999999997</v>
      </c>
      <c r="C55" s="84"/>
      <c r="D55" s="163" t="s">
        <v>214</v>
      </c>
      <c r="E55" s="9">
        <v>4.29</v>
      </c>
      <c r="F55" s="164"/>
      <c r="H55"/>
      <c r="I55"/>
    </row>
    <row r="56" spans="1:9" ht="72" customHeight="1" x14ac:dyDescent="0.25">
      <c r="A56" s="154" t="s">
        <v>149</v>
      </c>
      <c r="B56" s="126">
        <v>7.1</v>
      </c>
      <c r="C56" s="84"/>
      <c r="D56" s="163" t="s">
        <v>215</v>
      </c>
      <c r="E56" s="9">
        <v>15.49</v>
      </c>
      <c r="F56" s="164"/>
      <c r="H56"/>
      <c r="I56"/>
    </row>
    <row r="57" spans="1:9" ht="72" customHeight="1" x14ac:dyDescent="0.25">
      <c r="A57" s="154" t="s">
        <v>150</v>
      </c>
      <c r="B57" s="126">
        <v>74.204900000000009</v>
      </c>
      <c r="C57" s="84"/>
      <c r="D57" s="163" t="s">
        <v>216</v>
      </c>
      <c r="E57" s="9">
        <v>18.04</v>
      </c>
      <c r="F57" s="164"/>
      <c r="H57"/>
      <c r="I57"/>
    </row>
    <row r="58" spans="1:9" ht="72" customHeight="1" x14ac:dyDescent="0.25">
      <c r="A58" s="154" t="s">
        <v>151</v>
      </c>
      <c r="B58" s="126">
        <v>34.78</v>
      </c>
      <c r="C58" s="84"/>
      <c r="D58" s="163" t="s">
        <v>217</v>
      </c>
      <c r="E58" s="9">
        <v>1.88</v>
      </c>
      <c r="F58" s="164"/>
      <c r="H58"/>
      <c r="I58"/>
    </row>
    <row r="59" spans="1:9" ht="72" customHeight="1" x14ac:dyDescent="0.25">
      <c r="A59" s="154" t="s">
        <v>152</v>
      </c>
      <c r="B59" s="126">
        <v>6.7</v>
      </c>
      <c r="C59" s="84"/>
      <c r="D59" s="163" t="s">
        <v>218</v>
      </c>
      <c r="E59" s="9">
        <v>3.43</v>
      </c>
      <c r="F59" s="164"/>
      <c r="H59"/>
      <c r="I59"/>
    </row>
    <row r="60" spans="1:9" ht="72" customHeight="1" x14ac:dyDescent="0.25">
      <c r="A60" s="154" t="s">
        <v>153</v>
      </c>
      <c r="B60" s="126">
        <v>129.54060000000001</v>
      </c>
      <c r="C60" s="84"/>
      <c r="D60" s="163" t="s">
        <v>219</v>
      </c>
      <c r="E60" s="9">
        <v>6.14</v>
      </c>
      <c r="F60" s="164"/>
      <c r="H60"/>
      <c r="I60"/>
    </row>
    <row r="61" spans="1:9" ht="72" customHeight="1" x14ac:dyDescent="0.25">
      <c r="A61" s="154" t="s">
        <v>154</v>
      </c>
      <c r="B61" s="126">
        <v>20.779499999999999</v>
      </c>
      <c r="C61" s="84"/>
      <c r="D61" s="163" t="s">
        <v>220</v>
      </c>
      <c r="E61" s="9">
        <v>21.28</v>
      </c>
      <c r="F61" s="164"/>
      <c r="H61"/>
      <c r="I61"/>
    </row>
    <row r="62" spans="1:9" ht="72" customHeight="1" x14ac:dyDescent="0.25">
      <c r="A62" s="154" t="s">
        <v>155</v>
      </c>
      <c r="B62" s="126">
        <v>4.0991999999999997</v>
      </c>
      <c r="C62" s="84"/>
      <c r="D62" s="163" t="s">
        <v>221</v>
      </c>
      <c r="E62" s="9">
        <v>2.2000000000000002</v>
      </c>
      <c r="F62" s="164"/>
      <c r="H62"/>
      <c r="I62"/>
    </row>
    <row r="63" spans="1:9" ht="72" customHeight="1" x14ac:dyDescent="0.25">
      <c r="A63" s="154" t="s">
        <v>156</v>
      </c>
      <c r="B63" s="126">
        <v>14.58</v>
      </c>
      <c r="C63" s="84"/>
      <c r="D63" s="163" t="s">
        <v>222</v>
      </c>
      <c r="E63" s="9">
        <v>131.55000000000001</v>
      </c>
      <c r="F63" s="164"/>
      <c r="H63"/>
      <c r="I63"/>
    </row>
    <row r="64" spans="1:9" ht="72" customHeight="1" x14ac:dyDescent="0.25">
      <c r="A64" s="154" t="s">
        <v>157</v>
      </c>
      <c r="B64" s="126">
        <v>6.3630000000000004</v>
      </c>
      <c r="C64" s="84"/>
      <c r="D64" s="163" t="s">
        <v>223</v>
      </c>
      <c r="E64" s="9">
        <v>21.88</v>
      </c>
      <c r="F64" s="164"/>
      <c r="H64"/>
      <c r="I64"/>
    </row>
    <row r="65" spans="1:9" ht="72" customHeight="1" x14ac:dyDescent="0.25">
      <c r="A65" s="154" t="s">
        <v>158</v>
      </c>
      <c r="B65" s="125">
        <v>6.7</v>
      </c>
      <c r="C65" s="84"/>
      <c r="D65" s="163" t="s">
        <v>224</v>
      </c>
      <c r="E65" s="9">
        <v>4.41</v>
      </c>
      <c r="F65" s="164"/>
      <c r="H65"/>
      <c r="I65"/>
    </row>
    <row r="66" spans="1:9" ht="72" customHeight="1" x14ac:dyDescent="0.25">
      <c r="A66" s="154" t="s">
        <v>159</v>
      </c>
      <c r="B66" s="125">
        <v>12.3</v>
      </c>
      <c r="C66" s="84"/>
      <c r="D66" s="163" t="s">
        <v>225</v>
      </c>
      <c r="E66" s="9">
        <v>20.25</v>
      </c>
      <c r="F66" s="164"/>
      <c r="H66"/>
      <c r="I66"/>
    </row>
    <row r="67" spans="1:9" ht="72" customHeight="1" x14ac:dyDescent="0.25">
      <c r="A67" s="154" t="s">
        <v>160</v>
      </c>
      <c r="B67" s="125">
        <v>13.08</v>
      </c>
      <c r="C67" s="84"/>
      <c r="D67" s="163" t="s">
        <v>226</v>
      </c>
      <c r="E67" s="9">
        <v>3.83</v>
      </c>
      <c r="F67" s="164"/>
      <c r="H67"/>
      <c r="I67"/>
    </row>
    <row r="68" spans="1:9" ht="72" customHeight="1" x14ac:dyDescent="0.25">
      <c r="A68" s="154" t="s">
        <v>161</v>
      </c>
      <c r="B68" s="125">
        <v>5.25</v>
      </c>
      <c r="C68" s="84"/>
      <c r="D68" s="163" t="s">
        <v>227</v>
      </c>
      <c r="E68" s="9">
        <v>21.34</v>
      </c>
      <c r="F68" s="164"/>
      <c r="H68"/>
      <c r="I68"/>
    </row>
    <row r="69" spans="1:9" ht="72" customHeight="1" x14ac:dyDescent="0.25">
      <c r="A69" s="154" t="s">
        <v>162</v>
      </c>
      <c r="B69" s="125">
        <v>10.48</v>
      </c>
      <c r="C69" s="84"/>
      <c r="D69" s="163" t="s">
        <v>228</v>
      </c>
      <c r="E69" s="9">
        <v>4.2300000000000004</v>
      </c>
      <c r="F69" s="164"/>
      <c r="H69"/>
      <c r="I69"/>
    </row>
    <row r="70" spans="1:9" ht="72" customHeight="1" x14ac:dyDescent="0.25">
      <c r="A70" s="154" t="s">
        <v>163</v>
      </c>
      <c r="B70" s="125">
        <v>4.2</v>
      </c>
      <c r="C70" s="84"/>
      <c r="D70" s="163" t="s">
        <v>229</v>
      </c>
      <c r="E70" s="9">
        <v>104.15</v>
      </c>
      <c r="F70" s="164"/>
      <c r="H70"/>
      <c r="I70"/>
    </row>
    <row r="71" spans="1:9" ht="72" customHeight="1" x14ac:dyDescent="0.25">
      <c r="A71" s="155" t="s">
        <v>164</v>
      </c>
      <c r="B71" s="125">
        <v>9.5</v>
      </c>
      <c r="C71" s="84"/>
      <c r="D71" s="163" t="s">
        <v>230</v>
      </c>
      <c r="E71" s="9">
        <v>16.920000000000002</v>
      </c>
      <c r="F71" s="164"/>
      <c r="H71"/>
      <c r="I71"/>
    </row>
    <row r="72" spans="1:9" ht="72" customHeight="1" x14ac:dyDescent="0.25">
      <c r="A72" s="155" t="s">
        <v>165</v>
      </c>
      <c r="B72" s="125">
        <v>1.5</v>
      </c>
      <c r="C72" s="84"/>
      <c r="D72" s="163" t="s">
        <v>231</v>
      </c>
      <c r="E72" s="9">
        <v>2.7</v>
      </c>
      <c r="F72" s="164"/>
      <c r="H72"/>
      <c r="I72"/>
    </row>
    <row r="73" spans="1:9" ht="72" customHeight="1" x14ac:dyDescent="0.25">
      <c r="A73" s="154" t="s">
        <v>166</v>
      </c>
      <c r="B73" s="125">
        <v>15.72</v>
      </c>
      <c r="C73" s="84"/>
      <c r="D73" s="163" t="s">
        <v>232</v>
      </c>
      <c r="E73" s="9">
        <v>18.29</v>
      </c>
      <c r="F73" s="164"/>
      <c r="H73"/>
      <c r="I73"/>
    </row>
    <row r="74" spans="1:9" ht="72" customHeight="1" x14ac:dyDescent="0.25">
      <c r="A74" s="154" t="s">
        <v>167</v>
      </c>
      <c r="B74" s="125">
        <v>5.24</v>
      </c>
      <c r="C74" s="84"/>
      <c r="D74" s="163" t="s">
        <v>233</v>
      </c>
      <c r="E74" s="9">
        <v>3.15</v>
      </c>
      <c r="F74" s="164"/>
      <c r="H74"/>
      <c r="I74"/>
    </row>
    <row r="75" spans="1:9" ht="72" customHeight="1" x14ac:dyDescent="0.25">
      <c r="A75" s="154" t="s">
        <v>168</v>
      </c>
      <c r="B75" s="125">
        <v>8</v>
      </c>
      <c r="C75" s="84"/>
      <c r="D75" s="163" t="s">
        <v>234</v>
      </c>
      <c r="E75" s="9">
        <v>17.95</v>
      </c>
      <c r="F75" s="164"/>
      <c r="H75"/>
      <c r="I75"/>
    </row>
    <row r="76" spans="1:9" ht="72" customHeight="1" x14ac:dyDescent="0.25">
      <c r="A76" s="154" t="s">
        <v>169</v>
      </c>
      <c r="B76" s="125">
        <v>16</v>
      </c>
      <c r="C76" s="84"/>
      <c r="D76" s="163" t="s">
        <v>235</v>
      </c>
      <c r="E76" s="9">
        <v>3</v>
      </c>
      <c r="F76" s="164"/>
      <c r="H76"/>
      <c r="I76"/>
    </row>
    <row r="77" spans="1:9" ht="72" customHeight="1" x14ac:dyDescent="0.25">
      <c r="A77" s="154" t="s">
        <v>170</v>
      </c>
      <c r="B77" s="125">
        <v>40</v>
      </c>
      <c r="C77" s="84"/>
      <c r="D77" s="163" t="s">
        <v>236</v>
      </c>
      <c r="E77" s="9">
        <v>18.03</v>
      </c>
      <c r="F77" s="164"/>
      <c r="H77"/>
      <c r="I77"/>
    </row>
    <row r="78" spans="1:9" ht="72" customHeight="1" thickBot="1" x14ac:dyDescent="0.3">
      <c r="A78" s="156" t="s">
        <v>16</v>
      </c>
      <c r="B78" s="157">
        <v>80</v>
      </c>
      <c r="C78" s="87"/>
      <c r="D78" s="163" t="s">
        <v>237</v>
      </c>
      <c r="E78" s="9">
        <v>2.82</v>
      </c>
      <c r="F78" s="164"/>
      <c r="H78"/>
      <c r="I78"/>
    </row>
    <row r="79" spans="1:9" ht="72" customHeight="1" x14ac:dyDescent="0.25">
      <c r="B79"/>
      <c r="C79"/>
      <c r="D79" s="163" t="s">
        <v>238</v>
      </c>
      <c r="E79" s="9">
        <v>122.8</v>
      </c>
      <c r="F79" s="164"/>
      <c r="H79"/>
      <c r="I79"/>
    </row>
    <row r="80" spans="1:9" ht="72" customHeight="1" x14ac:dyDescent="0.25">
      <c r="B80"/>
      <c r="C80"/>
      <c r="D80" s="163" t="s">
        <v>239</v>
      </c>
      <c r="E80" s="9">
        <v>25.91</v>
      </c>
      <c r="F80" s="164"/>
      <c r="H80"/>
      <c r="I80"/>
    </row>
    <row r="81" spans="2:9" ht="72" customHeight="1" x14ac:dyDescent="0.25">
      <c r="B81"/>
      <c r="C81"/>
      <c r="D81" s="163" t="s">
        <v>240</v>
      </c>
      <c r="E81" s="9">
        <v>30.52</v>
      </c>
      <c r="F81" s="164"/>
      <c r="G81" s="101"/>
      <c r="H81"/>
      <c r="I81"/>
    </row>
    <row r="82" spans="2:9" ht="72" customHeight="1" x14ac:dyDescent="0.25">
      <c r="B82"/>
      <c r="C82"/>
      <c r="D82" s="163" t="s">
        <v>241</v>
      </c>
      <c r="E82" s="9">
        <v>34.380000000000003</v>
      </c>
      <c r="F82" s="164"/>
      <c r="G82" s="101"/>
      <c r="H82"/>
      <c r="I82"/>
    </row>
    <row r="83" spans="2:9" ht="72" customHeight="1" x14ac:dyDescent="0.25">
      <c r="B83"/>
      <c r="C83"/>
      <c r="D83" s="163" t="s">
        <v>242</v>
      </c>
      <c r="E83" s="9">
        <v>9.98</v>
      </c>
      <c r="F83" s="164"/>
      <c r="G83" s="101"/>
      <c r="H83"/>
      <c r="I83"/>
    </row>
    <row r="84" spans="2:9" ht="72" customHeight="1" x14ac:dyDescent="0.25">
      <c r="B84"/>
      <c r="C84"/>
      <c r="D84" s="163" t="s">
        <v>243</v>
      </c>
      <c r="E84" s="9">
        <v>3.32</v>
      </c>
      <c r="F84" s="164"/>
      <c r="G84" s="101"/>
      <c r="H84"/>
      <c r="I84"/>
    </row>
    <row r="85" spans="2:9" ht="72" customHeight="1" x14ac:dyDescent="0.25">
      <c r="B85"/>
      <c r="C85"/>
      <c r="D85" s="163" t="s">
        <v>244</v>
      </c>
      <c r="E85" s="9">
        <v>15.42</v>
      </c>
      <c r="F85" s="164"/>
      <c r="G85" s="101"/>
      <c r="H85"/>
      <c r="I85"/>
    </row>
    <row r="86" spans="2:9" ht="72" customHeight="1" x14ac:dyDescent="0.25">
      <c r="B86"/>
      <c r="C86"/>
      <c r="D86" s="163" t="s">
        <v>245</v>
      </c>
      <c r="E86" s="9">
        <v>5.14</v>
      </c>
      <c r="F86" s="164"/>
      <c r="G86" s="101"/>
      <c r="H86"/>
      <c r="I86"/>
    </row>
    <row r="87" spans="2:9" ht="72" customHeight="1" x14ac:dyDescent="0.25">
      <c r="B87"/>
      <c r="C87"/>
      <c r="D87" s="163" t="s">
        <v>246</v>
      </c>
      <c r="E87" s="9">
        <v>10.08</v>
      </c>
      <c r="F87" s="164"/>
      <c r="G87" s="101"/>
      <c r="H87"/>
      <c r="I87"/>
    </row>
    <row r="88" spans="2:9" ht="72" customHeight="1" x14ac:dyDescent="0.25">
      <c r="B88"/>
      <c r="C88"/>
      <c r="D88" s="163" t="s">
        <v>247</v>
      </c>
      <c r="E88" s="9">
        <v>3.36</v>
      </c>
      <c r="F88" s="164"/>
      <c r="G88" s="101"/>
      <c r="H88"/>
      <c r="I88"/>
    </row>
    <row r="89" spans="2:9" ht="72" customHeight="1" x14ac:dyDescent="0.25">
      <c r="B89"/>
      <c r="C89"/>
      <c r="D89" s="163" t="s">
        <v>168</v>
      </c>
      <c r="E89" s="9">
        <v>7</v>
      </c>
      <c r="F89" s="164"/>
      <c r="G89" s="101"/>
      <c r="H89"/>
      <c r="I89"/>
    </row>
    <row r="90" spans="2:9" ht="72" customHeight="1" x14ac:dyDescent="0.25">
      <c r="B90"/>
      <c r="C90"/>
      <c r="D90" s="163" t="s">
        <v>169</v>
      </c>
      <c r="E90" s="9">
        <v>14</v>
      </c>
      <c r="F90" s="166"/>
      <c r="G90" s="101"/>
      <c r="H90"/>
      <c r="I90"/>
    </row>
    <row r="91" spans="2:9" ht="72" customHeight="1" x14ac:dyDescent="0.25">
      <c r="B91"/>
      <c r="C91"/>
      <c r="D91" s="163" t="s">
        <v>170</v>
      </c>
      <c r="E91" s="9">
        <v>35</v>
      </c>
      <c r="F91" s="166"/>
      <c r="G91" s="101"/>
      <c r="H91"/>
      <c r="I91"/>
    </row>
    <row r="92" spans="2:9" ht="72" customHeight="1" thickBot="1" x14ac:dyDescent="0.3">
      <c r="B92"/>
      <c r="C92"/>
      <c r="D92" s="167" t="s">
        <v>16</v>
      </c>
      <c r="E92" s="168">
        <v>70</v>
      </c>
      <c r="F92" s="169"/>
      <c r="G92" s="101"/>
      <c r="H92"/>
      <c r="I92"/>
    </row>
    <row r="93" spans="2:9" ht="72" customHeight="1" x14ac:dyDescent="0.25">
      <c r="B93"/>
      <c r="C93"/>
      <c r="E93" s="101"/>
      <c r="F93" s="101"/>
      <c r="G93" s="101"/>
      <c r="H93"/>
      <c r="I93"/>
    </row>
    <row r="94" spans="2:9" ht="72" customHeight="1" x14ac:dyDescent="0.25">
      <c r="B94"/>
      <c r="C94"/>
      <c r="E94" s="101"/>
      <c r="F94" s="101"/>
      <c r="G94" s="101"/>
      <c r="H94"/>
      <c r="I94"/>
    </row>
    <row r="95" spans="2:9" ht="72" customHeight="1" x14ac:dyDescent="0.25">
      <c r="B95"/>
      <c r="C95"/>
      <c r="E95" s="101"/>
      <c r="F95" s="101"/>
      <c r="G95" s="101"/>
      <c r="H95"/>
      <c r="I95"/>
    </row>
    <row r="96" spans="2:9" ht="72" customHeight="1" x14ac:dyDescent="0.25">
      <c r="B96"/>
      <c r="C96"/>
      <c r="E96" s="101"/>
      <c r="F96" s="101"/>
      <c r="G96" s="7"/>
      <c r="H96"/>
      <c r="I96"/>
    </row>
    <row r="97" spans="2:9" ht="72" customHeight="1" x14ac:dyDescent="0.25">
      <c r="B97"/>
      <c r="C97"/>
      <c r="E97" s="101"/>
      <c r="F97" s="101"/>
      <c r="G97" s="7"/>
      <c r="H97"/>
      <c r="I97"/>
    </row>
    <row r="98" spans="2:9" ht="72" customHeight="1" x14ac:dyDescent="0.25">
      <c r="B98"/>
      <c r="C98"/>
      <c r="G98" s="7"/>
      <c r="H98"/>
      <c r="I98"/>
    </row>
    <row r="99" spans="2:9" ht="72" customHeight="1" x14ac:dyDescent="0.25">
      <c r="B99"/>
      <c r="C99"/>
      <c r="G99" s="7"/>
      <c r="H99"/>
      <c r="I99"/>
    </row>
    <row r="100" spans="2:9" ht="72" customHeight="1" x14ac:dyDescent="0.25">
      <c r="B100"/>
      <c r="C100"/>
      <c r="G100" s="7"/>
      <c r="H100"/>
      <c r="I100"/>
    </row>
    <row r="101" spans="2:9" ht="72" customHeight="1" x14ac:dyDescent="0.25">
      <c r="B101"/>
      <c r="C101"/>
      <c r="G101" s="7"/>
      <c r="H101"/>
      <c r="I101"/>
    </row>
    <row r="102" spans="2:9" ht="72" customHeight="1" x14ac:dyDescent="0.25">
      <c r="B102"/>
      <c r="C102"/>
      <c r="G102" s="7"/>
      <c r="H102"/>
      <c r="I102"/>
    </row>
    <row r="103" spans="2:9" ht="72" customHeight="1" x14ac:dyDescent="0.25">
      <c r="B103"/>
      <c r="C103"/>
      <c r="G103" s="7"/>
      <c r="H103"/>
      <c r="I103"/>
    </row>
    <row r="104" spans="2:9" ht="72" customHeight="1" x14ac:dyDescent="0.25">
      <c r="B104"/>
      <c r="C104"/>
      <c r="H104"/>
      <c r="I104"/>
    </row>
    <row r="105" spans="2:9" ht="72" customHeight="1" x14ac:dyDescent="0.25">
      <c r="B105"/>
      <c r="C105"/>
      <c r="H105"/>
      <c r="I105"/>
    </row>
    <row r="106" spans="2:9" ht="72" customHeight="1" x14ac:dyDescent="0.25">
      <c r="B106"/>
      <c r="C106"/>
      <c r="H106"/>
      <c r="I106"/>
    </row>
    <row r="107" spans="2:9" ht="72" customHeight="1" x14ac:dyDescent="0.25">
      <c r="B107"/>
      <c r="C107"/>
      <c r="H107"/>
      <c r="I107"/>
    </row>
    <row r="108" spans="2:9" ht="72" customHeight="1" x14ac:dyDescent="0.25">
      <c r="B108"/>
      <c r="C108"/>
      <c r="H108"/>
      <c r="I108"/>
    </row>
    <row r="109" spans="2:9" ht="72" customHeight="1" x14ac:dyDescent="0.25">
      <c r="B109"/>
      <c r="C109"/>
      <c r="H109"/>
      <c r="I109"/>
    </row>
    <row r="110" spans="2:9" ht="72" customHeight="1" x14ac:dyDescent="0.25">
      <c r="B110"/>
      <c r="C110"/>
      <c r="H110"/>
      <c r="I110"/>
    </row>
    <row r="111" spans="2:9" ht="72" customHeight="1" x14ac:dyDescent="0.25">
      <c r="B111"/>
      <c r="C111"/>
      <c r="H111"/>
      <c r="I111"/>
    </row>
    <row r="112" spans="2:9" ht="72" customHeight="1" x14ac:dyDescent="0.25">
      <c r="B112"/>
      <c r="C112"/>
      <c r="H112"/>
      <c r="I112"/>
    </row>
    <row r="113" spans="2:9" ht="72" customHeight="1" x14ac:dyDescent="0.25">
      <c r="B113"/>
      <c r="C113"/>
      <c r="H113"/>
      <c r="I113"/>
    </row>
    <row r="114" spans="2:9" ht="72" customHeight="1" x14ac:dyDescent="0.25">
      <c r="B114"/>
      <c r="C114"/>
      <c r="H114"/>
      <c r="I114"/>
    </row>
    <row r="115" spans="2:9" ht="72" customHeight="1" x14ac:dyDescent="0.25">
      <c r="B115"/>
      <c r="C115"/>
      <c r="H115"/>
      <c r="I115"/>
    </row>
    <row r="116" spans="2:9" ht="72" customHeight="1" x14ac:dyDescent="0.25">
      <c r="B116"/>
      <c r="C116"/>
      <c r="H116"/>
      <c r="I116"/>
    </row>
    <row r="117" spans="2:9" ht="72" customHeight="1" x14ac:dyDescent="0.25">
      <c r="B117"/>
      <c r="C117"/>
      <c r="H117"/>
      <c r="I117"/>
    </row>
    <row r="118" spans="2:9" ht="72" customHeight="1" x14ac:dyDescent="0.25">
      <c r="B118"/>
      <c r="C118"/>
      <c r="H118"/>
      <c r="I118"/>
    </row>
    <row r="119" spans="2:9" ht="72" customHeight="1" x14ac:dyDescent="0.25">
      <c r="B119"/>
      <c r="C119"/>
      <c r="H119"/>
      <c r="I119"/>
    </row>
    <row r="120" spans="2:9" ht="72" customHeight="1" x14ac:dyDescent="0.25">
      <c r="B120"/>
      <c r="C120"/>
      <c r="H120"/>
      <c r="I120"/>
    </row>
    <row r="121" spans="2:9" ht="72" customHeight="1" x14ac:dyDescent="0.25">
      <c r="B121"/>
      <c r="C121"/>
      <c r="H121"/>
      <c r="I121"/>
    </row>
    <row r="122" spans="2:9" ht="72" customHeight="1" x14ac:dyDescent="0.25">
      <c r="B122"/>
      <c r="C122"/>
      <c r="H122"/>
      <c r="I122"/>
    </row>
    <row r="123" spans="2:9" ht="72" customHeight="1" x14ac:dyDescent="0.25">
      <c r="B123"/>
      <c r="C123"/>
      <c r="H123"/>
      <c r="I123"/>
    </row>
    <row r="124" spans="2:9" ht="72" customHeight="1" x14ac:dyDescent="0.25">
      <c r="B124"/>
      <c r="C124"/>
      <c r="H124"/>
      <c r="I124"/>
    </row>
    <row r="125" spans="2:9" ht="72" customHeight="1" x14ac:dyDescent="0.25">
      <c r="B125"/>
      <c r="C125"/>
      <c r="H125"/>
      <c r="I125"/>
    </row>
    <row r="126" spans="2:9" ht="72" customHeight="1" x14ac:dyDescent="0.25">
      <c r="B126"/>
      <c r="C126"/>
      <c r="H126"/>
      <c r="I126"/>
    </row>
    <row r="127" spans="2:9" ht="72" customHeight="1" x14ac:dyDescent="0.25">
      <c r="B127"/>
      <c r="C127"/>
      <c r="H127"/>
      <c r="I127"/>
    </row>
    <row r="128" spans="2:9" ht="72" customHeight="1" x14ac:dyDescent="0.25">
      <c r="B128"/>
      <c r="C128"/>
      <c r="H128"/>
      <c r="I128"/>
    </row>
    <row r="129" spans="2:9" ht="72" customHeight="1" x14ac:dyDescent="0.25">
      <c r="B129"/>
      <c r="C129"/>
      <c r="H129"/>
      <c r="I129"/>
    </row>
    <row r="130" spans="2:9" ht="72" customHeight="1" x14ac:dyDescent="0.25">
      <c r="B130"/>
      <c r="C130"/>
      <c r="H130"/>
      <c r="I130"/>
    </row>
    <row r="131" spans="2:9" ht="72" customHeight="1" x14ac:dyDescent="0.25">
      <c r="B131"/>
      <c r="C131"/>
      <c r="H131"/>
      <c r="I131"/>
    </row>
    <row r="132" spans="2:9" ht="72" customHeight="1" x14ac:dyDescent="0.25">
      <c r="B132"/>
      <c r="C132"/>
      <c r="H132"/>
      <c r="I132"/>
    </row>
    <row r="133" spans="2:9" ht="72" customHeight="1" x14ac:dyDescent="0.25">
      <c r="B133"/>
      <c r="C133"/>
      <c r="H133"/>
      <c r="I133"/>
    </row>
    <row r="134" spans="2:9" ht="72" customHeight="1" x14ac:dyDescent="0.25">
      <c r="B134"/>
      <c r="C134"/>
      <c r="H134"/>
      <c r="I134"/>
    </row>
    <row r="135" spans="2:9" ht="72" customHeight="1" x14ac:dyDescent="0.25">
      <c r="B135"/>
      <c r="C135"/>
      <c r="H135"/>
      <c r="I135"/>
    </row>
    <row r="136" spans="2:9" ht="72" customHeight="1" x14ac:dyDescent="0.25">
      <c r="B136"/>
      <c r="C136"/>
      <c r="H136"/>
      <c r="I136"/>
    </row>
    <row r="137" spans="2:9" ht="72" customHeight="1" x14ac:dyDescent="0.25">
      <c r="B137"/>
      <c r="C137"/>
      <c r="H137"/>
      <c r="I137"/>
    </row>
    <row r="138" spans="2:9" ht="72" customHeight="1" x14ac:dyDescent="0.25">
      <c r="B138"/>
      <c r="C138"/>
      <c r="H138"/>
      <c r="I138"/>
    </row>
    <row r="139" spans="2:9" ht="72" customHeight="1" x14ac:dyDescent="0.25">
      <c r="B139"/>
      <c r="C139"/>
      <c r="H139"/>
      <c r="I139"/>
    </row>
    <row r="140" spans="2:9" ht="72" customHeight="1" x14ac:dyDescent="0.25">
      <c r="B140"/>
      <c r="C140"/>
      <c r="H140"/>
      <c r="I140"/>
    </row>
    <row r="141" spans="2:9" ht="72" customHeight="1" x14ac:dyDescent="0.25">
      <c r="B141"/>
      <c r="C141"/>
      <c r="H141"/>
      <c r="I141"/>
    </row>
    <row r="142" spans="2:9" ht="72" customHeight="1" x14ac:dyDescent="0.25">
      <c r="B142"/>
      <c r="C142"/>
      <c r="H142"/>
      <c r="I142"/>
    </row>
    <row r="143" spans="2:9" ht="72" customHeight="1" x14ac:dyDescent="0.25">
      <c r="B143"/>
      <c r="C143"/>
      <c r="H143"/>
      <c r="I143"/>
    </row>
    <row r="144" spans="2:9" ht="72" customHeight="1" x14ac:dyDescent="0.25">
      <c r="B144"/>
      <c r="C144"/>
      <c r="H144"/>
      <c r="I144"/>
    </row>
    <row r="145" spans="2:9" ht="72" customHeight="1" x14ac:dyDescent="0.25">
      <c r="B145"/>
      <c r="C145"/>
      <c r="H145"/>
      <c r="I145"/>
    </row>
    <row r="146" spans="2:9" ht="72" customHeight="1" x14ac:dyDescent="0.25">
      <c r="B146"/>
      <c r="C146"/>
      <c r="H146"/>
      <c r="I146"/>
    </row>
    <row r="147" spans="2:9" ht="72" customHeight="1" x14ac:dyDescent="0.25">
      <c r="B147"/>
      <c r="C147"/>
      <c r="H147"/>
      <c r="I147"/>
    </row>
    <row r="148" spans="2:9" ht="72" customHeight="1" x14ac:dyDescent="0.25">
      <c r="B148"/>
      <c r="C148"/>
      <c r="H148"/>
      <c r="I148"/>
    </row>
    <row r="149" spans="2:9" ht="72" customHeight="1" x14ac:dyDescent="0.25">
      <c r="B149"/>
      <c r="C149"/>
      <c r="H149"/>
      <c r="I149"/>
    </row>
    <row r="150" spans="2:9" ht="72" customHeight="1" x14ac:dyDescent="0.25">
      <c r="B150"/>
      <c r="C150"/>
      <c r="H150"/>
      <c r="I150"/>
    </row>
    <row r="151" spans="2:9" ht="72" customHeight="1" x14ac:dyDescent="0.25">
      <c r="B151"/>
      <c r="C151"/>
      <c r="H151"/>
      <c r="I151"/>
    </row>
    <row r="152" spans="2:9" ht="72" customHeight="1" x14ac:dyDescent="0.25">
      <c r="B152"/>
      <c r="C152"/>
      <c r="H152"/>
      <c r="I152"/>
    </row>
    <row r="153" spans="2:9" ht="72" customHeight="1" x14ac:dyDescent="0.25">
      <c r="B153"/>
      <c r="C153"/>
      <c r="H153"/>
      <c r="I153"/>
    </row>
    <row r="154" spans="2:9" ht="72" customHeight="1" x14ac:dyDescent="0.25">
      <c r="B154"/>
      <c r="C154"/>
      <c r="H154"/>
      <c r="I154"/>
    </row>
    <row r="155" spans="2:9" ht="72" customHeight="1" x14ac:dyDescent="0.25">
      <c r="B155"/>
      <c r="C155"/>
      <c r="H155"/>
      <c r="I155"/>
    </row>
    <row r="156" spans="2:9" ht="72" customHeight="1" x14ac:dyDescent="0.25">
      <c r="B156"/>
      <c r="C156"/>
      <c r="H156"/>
      <c r="I156"/>
    </row>
    <row r="157" spans="2:9" ht="72" customHeight="1" x14ac:dyDescent="0.25">
      <c r="B157"/>
      <c r="C157"/>
      <c r="H157"/>
      <c r="I157"/>
    </row>
    <row r="158" spans="2:9" ht="72" customHeight="1" x14ac:dyDescent="0.25">
      <c r="B158"/>
      <c r="C158"/>
      <c r="H158"/>
      <c r="I158"/>
    </row>
    <row r="159" spans="2:9" ht="72" customHeight="1" x14ac:dyDescent="0.25">
      <c r="B159"/>
      <c r="C159"/>
      <c r="H159"/>
      <c r="I159"/>
    </row>
    <row r="160" spans="2:9" ht="72" customHeight="1" x14ac:dyDescent="0.25">
      <c r="B160"/>
      <c r="C160"/>
      <c r="H160"/>
      <c r="I160"/>
    </row>
    <row r="161" spans="2:9" ht="72" customHeight="1" x14ac:dyDescent="0.25">
      <c r="B161"/>
      <c r="C161"/>
      <c r="H161"/>
      <c r="I161"/>
    </row>
    <row r="162" spans="2:9" ht="72" customHeight="1" x14ac:dyDescent="0.25">
      <c r="B162"/>
      <c r="C162"/>
      <c r="H162"/>
      <c r="I162"/>
    </row>
    <row r="163" spans="2:9" ht="72" customHeight="1" x14ac:dyDescent="0.25">
      <c r="B163"/>
      <c r="C163"/>
      <c r="H163"/>
      <c r="I163"/>
    </row>
    <row r="164" spans="2:9" ht="72" customHeight="1" x14ac:dyDescent="0.25">
      <c r="B164"/>
      <c r="C164"/>
      <c r="H164"/>
      <c r="I164"/>
    </row>
    <row r="165" spans="2:9" ht="72" customHeight="1" x14ac:dyDescent="0.25">
      <c r="B165"/>
      <c r="C165"/>
      <c r="H165"/>
      <c r="I165"/>
    </row>
    <row r="166" spans="2:9" ht="72" customHeight="1" x14ac:dyDescent="0.25">
      <c r="B166"/>
      <c r="C166"/>
      <c r="H166"/>
      <c r="I166"/>
    </row>
    <row r="167" spans="2:9" ht="72" customHeight="1" x14ac:dyDescent="0.25">
      <c r="B167"/>
      <c r="C167"/>
      <c r="H167"/>
      <c r="I167"/>
    </row>
    <row r="168" spans="2:9" ht="72" customHeight="1" x14ac:dyDescent="0.25">
      <c r="B168"/>
      <c r="C168"/>
      <c r="H168"/>
      <c r="I168"/>
    </row>
    <row r="169" spans="2:9" ht="72" customHeight="1" x14ac:dyDescent="0.25">
      <c r="B169"/>
      <c r="C169"/>
      <c r="H169"/>
      <c r="I169"/>
    </row>
    <row r="170" spans="2:9" ht="72" customHeight="1" x14ac:dyDescent="0.25">
      <c r="B170"/>
      <c r="C170"/>
      <c r="H170"/>
      <c r="I170"/>
    </row>
    <row r="171" spans="2:9" ht="72" customHeight="1" x14ac:dyDescent="0.25">
      <c r="B171"/>
      <c r="C171"/>
      <c r="H171"/>
      <c r="I171"/>
    </row>
    <row r="172" spans="2:9" ht="72" customHeight="1" x14ac:dyDescent="0.25">
      <c r="B172"/>
      <c r="C172"/>
      <c r="H172"/>
      <c r="I172"/>
    </row>
    <row r="173" spans="2:9" ht="72" customHeight="1" x14ac:dyDescent="0.25">
      <c r="B173"/>
      <c r="C173"/>
      <c r="H173"/>
      <c r="I173"/>
    </row>
    <row r="174" spans="2:9" ht="72" customHeight="1" x14ac:dyDescent="0.25">
      <c r="B174"/>
      <c r="C174"/>
      <c r="H174"/>
      <c r="I174"/>
    </row>
    <row r="175" spans="2:9" ht="72" customHeight="1" x14ac:dyDescent="0.25">
      <c r="B175"/>
      <c r="C175"/>
      <c r="H175"/>
      <c r="I175"/>
    </row>
    <row r="176" spans="2:9" ht="72" customHeight="1" x14ac:dyDescent="0.25">
      <c r="B176"/>
      <c r="C176"/>
      <c r="H176"/>
      <c r="I176"/>
    </row>
    <row r="177" spans="2:9" ht="72" customHeight="1" x14ac:dyDescent="0.25">
      <c r="B177"/>
      <c r="C177"/>
      <c r="H177"/>
      <c r="I177"/>
    </row>
    <row r="178" spans="2:9" ht="72" customHeight="1" x14ac:dyDescent="0.25">
      <c r="B178"/>
      <c r="C178"/>
      <c r="H178"/>
      <c r="I178"/>
    </row>
    <row r="179" spans="2:9" ht="72" customHeight="1" x14ac:dyDescent="0.25">
      <c r="B179"/>
      <c r="C179"/>
      <c r="H179"/>
      <c r="I179"/>
    </row>
    <row r="180" spans="2:9" ht="72" customHeight="1" x14ac:dyDescent="0.25">
      <c r="B180"/>
      <c r="C180"/>
      <c r="H180"/>
      <c r="I180"/>
    </row>
    <row r="181" spans="2:9" ht="72" customHeight="1" x14ac:dyDescent="0.25">
      <c r="B181"/>
      <c r="C181"/>
      <c r="H181"/>
      <c r="I181"/>
    </row>
    <row r="182" spans="2:9" ht="72" customHeight="1" x14ac:dyDescent="0.25">
      <c r="B182"/>
      <c r="C182"/>
      <c r="H182"/>
      <c r="I182"/>
    </row>
    <row r="183" spans="2:9" ht="72" customHeight="1" x14ac:dyDescent="0.25">
      <c r="B183"/>
      <c r="C183"/>
      <c r="H183"/>
      <c r="I183"/>
    </row>
    <row r="184" spans="2:9" ht="72" customHeight="1" x14ac:dyDescent="0.25">
      <c r="B184"/>
      <c r="C184"/>
      <c r="H184"/>
      <c r="I184"/>
    </row>
    <row r="185" spans="2:9" ht="72" customHeight="1" x14ac:dyDescent="0.25">
      <c r="B185"/>
      <c r="C185"/>
      <c r="H185"/>
      <c r="I185"/>
    </row>
    <row r="186" spans="2:9" ht="72" customHeight="1" x14ac:dyDescent="0.25">
      <c r="B186"/>
      <c r="C186"/>
      <c r="H186"/>
      <c r="I186"/>
    </row>
    <row r="187" spans="2:9" ht="72" customHeight="1" x14ac:dyDescent="0.25">
      <c r="B187"/>
      <c r="C187"/>
      <c r="H187"/>
      <c r="I187"/>
    </row>
    <row r="188" spans="2:9" ht="72" customHeight="1" x14ac:dyDescent="0.25">
      <c r="B188"/>
      <c r="C188"/>
      <c r="H188"/>
      <c r="I188"/>
    </row>
    <row r="189" spans="2:9" ht="72" customHeight="1" x14ac:dyDescent="0.25">
      <c r="B189"/>
      <c r="C189"/>
      <c r="H189"/>
      <c r="I189"/>
    </row>
    <row r="190" spans="2:9" ht="72" customHeight="1" x14ac:dyDescent="0.25">
      <c r="B190"/>
      <c r="C190"/>
      <c r="H190"/>
      <c r="I190"/>
    </row>
    <row r="191" spans="2:9" ht="72" customHeight="1" x14ac:dyDescent="0.25">
      <c r="B191"/>
      <c r="C191"/>
      <c r="H191"/>
      <c r="I191"/>
    </row>
    <row r="192" spans="2:9" ht="72" customHeight="1" x14ac:dyDescent="0.25">
      <c r="B192"/>
      <c r="C192"/>
      <c r="H192"/>
      <c r="I192"/>
    </row>
    <row r="193" spans="2:9" ht="72" customHeight="1" x14ac:dyDescent="0.25">
      <c r="B193"/>
      <c r="C193"/>
      <c r="H193"/>
      <c r="I193"/>
    </row>
    <row r="194" spans="2:9" ht="72" customHeight="1" x14ac:dyDescent="0.25">
      <c r="B194"/>
      <c r="C194"/>
      <c r="H194"/>
      <c r="I194"/>
    </row>
    <row r="195" spans="2:9" ht="72" customHeight="1" x14ac:dyDescent="0.25">
      <c r="B195"/>
      <c r="C195"/>
      <c r="H195"/>
      <c r="I195"/>
    </row>
    <row r="196" spans="2:9" ht="72" customHeight="1" x14ac:dyDescent="0.25">
      <c r="B196"/>
      <c r="C196"/>
      <c r="H196"/>
      <c r="I196"/>
    </row>
    <row r="197" spans="2:9" ht="72" customHeight="1" x14ac:dyDescent="0.25">
      <c r="B197"/>
      <c r="C197"/>
      <c r="H197"/>
      <c r="I197"/>
    </row>
    <row r="198" spans="2:9" ht="72" customHeight="1" x14ac:dyDescent="0.25">
      <c r="B198"/>
      <c r="C198"/>
      <c r="H198"/>
      <c r="I198"/>
    </row>
    <row r="199" spans="2:9" ht="72" customHeight="1" x14ac:dyDescent="0.25">
      <c r="B199"/>
      <c r="C199"/>
      <c r="H199"/>
      <c r="I199"/>
    </row>
    <row r="200" spans="2:9" ht="72" customHeight="1" x14ac:dyDescent="0.25">
      <c r="B200"/>
      <c r="C200"/>
      <c r="H200"/>
      <c r="I200"/>
    </row>
  </sheetData>
  <sheetProtection selectLockedCells="1"/>
  <mergeCells count="5">
    <mergeCell ref="A1:C1"/>
    <mergeCell ref="D1:F1"/>
    <mergeCell ref="O1:Q1"/>
    <mergeCell ref="O2:P2"/>
    <mergeCell ref="O3:P3"/>
  </mergeCells>
  <printOptions horizontalCentered="1"/>
  <pageMargins left="0.75" right="0.75" top="1" bottom="1" header="0.5" footer="0.5"/>
  <pageSetup orientation="portrait" r:id="rId1"/>
  <headerFooter alignWithMargins="0">
    <oddHeader>&amp;C&amp;18Force Equivalents&amp;R&amp;D</oddHeader>
    <oddFooter>&amp;L&amp;F
&amp;R&amp;A</oddFooter>
  </headerFooter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2.Update" altText="">
                <anchor moveWithCells="1" sizeWithCells="1">
                  <from>
                    <xdr:col>7</xdr:col>
                    <xdr:colOff>304800</xdr:colOff>
                    <xdr:row>4</xdr:row>
                    <xdr:rowOff>304800</xdr:rowOff>
                  </from>
                  <to>
                    <xdr:col>12</xdr:col>
                    <xdr:colOff>361950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_x0032_ABCTTaskings xmlns="4233fc49-3339-4531-8895-cee7bd229291" xsi:nil="true"/>
    <lcf76f155ced4ddcb4097134ff3c332f xmlns="4233fc49-3339-4531-8895-cee7bd229291">
      <Terms xmlns="http://schemas.microsoft.com/office/infopath/2007/PartnerControls"/>
    </lcf76f155ced4ddcb4097134ff3c332f>
    <TaxCatchAll xmlns="c93905bf-b08c-430b-8630-76f4d352397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4DDA97709D05344805E34443243448B" ma:contentTypeVersion="18" ma:contentTypeDescription="Create a new document." ma:contentTypeScope="" ma:versionID="7b1a811a238dd769000de4ea4237abee">
  <xsd:schema xmlns:xsd="http://www.w3.org/2001/XMLSchema" xmlns:xs="http://www.w3.org/2001/XMLSchema" xmlns:p="http://schemas.microsoft.com/office/2006/metadata/properties" xmlns:ns1="http://schemas.microsoft.com/sharepoint/v3" xmlns:ns2="4233fc49-3339-4531-8895-cee7bd229291" xmlns:ns3="c93905bf-b08c-430b-8630-76f4d352397a" targetNamespace="http://schemas.microsoft.com/office/2006/metadata/properties" ma:root="true" ma:fieldsID="018987e6a4a4fcb96c07b7d17b8a543e" ns1:_="" ns2:_="" ns3:_="">
    <xsd:import namespace="http://schemas.microsoft.com/sharepoint/v3"/>
    <xsd:import namespace="4233fc49-3339-4531-8895-cee7bd229291"/>
    <xsd:import namespace="c93905bf-b08c-430b-8630-76f4d35239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_x0032_ABCTTasking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33fc49-3339-4531-8895-cee7bd2292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x0032_ABCTTaskings" ma:index="12" nillable="true" ma:displayName="2ABCT Taskings" ma:format="Dropdown" ma:internalName="_x0032_ABCTTaskings">
      <xsd:simpleType>
        <xsd:restriction base="dms:Text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cc874fec-6985-468d-9a86-0194f6fd86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3905bf-b08c-430b-8630-76f4d352397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01174d28-49eb-46f7-9b56-13a4edbf0587}" ma:internalName="TaxCatchAll" ma:showField="CatchAllData" ma:web="c93905bf-b08c-430b-8630-76f4d352397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137F9A-6B55-4148-AA93-AEC6EE561548}">
  <ds:schemaRefs>
    <ds:schemaRef ds:uri="http://purl.org/dc/terms/"/>
    <ds:schemaRef ds:uri="http://purl.org/dc/elements/1.1/"/>
    <ds:schemaRef ds:uri="c93905bf-b08c-430b-8630-76f4d352397a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purl.org/dc/dcmitype/"/>
    <ds:schemaRef ds:uri="http://schemas.openxmlformats.org/package/2006/metadata/core-properties"/>
    <ds:schemaRef ds:uri="4233fc49-3339-4531-8895-cee7bd229291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BCB6D2F-5054-448F-9472-802C0EB805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233fc49-3339-4531-8895-cee7bd229291"/>
    <ds:schemaRef ds:uri="c93905bf-b08c-430b-8630-76f4d35239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3E7882-B788-47E4-83D2-D0D191E2F7D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ae6d70f-954b-4811-92b6-0530d6f84c43}" enabled="0" method="" siteId="{fae6d70f-954b-4811-92b6-0530d6f84c4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Engagement Calculator 2.0 </vt:lpstr>
      <vt:lpstr>Engagement Calc 1.0</vt:lpstr>
      <vt:lpstr>Damage Table</vt:lpstr>
      <vt:lpstr>Data</vt:lpstr>
      <vt:lpstr>'Damage Table'!DamageTable</vt:lpstr>
      <vt:lpstr>ETable</vt:lpstr>
      <vt:lpstr>EType</vt:lpstr>
      <vt:lpstr>FTable</vt:lpstr>
      <vt:lpstr>FType</vt:lpstr>
      <vt:lpstr>'Damage Table'!Missions</vt:lpstr>
      <vt:lpstr>'Damage Table'!Print_Area</vt:lpstr>
      <vt:lpstr>Data!Print_Area</vt:lpstr>
      <vt:lpstr>'Engagement Calc 1.0'!Print_Area</vt:lpstr>
      <vt:lpstr>'Engagement Calculator 2.0 '!Print_Area</vt:lpstr>
      <vt:lpstr>Data!TABLE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NeuBenn Neusse</dc:creator>
  <cp:keywords/>
  <dc:description/>
  <cp:lastModifiedBy>Shutt, Brenden M 1LT USARMY 3 ID (USA)</cp:lastModifiedBy>
  <cp:revision/>
  <dcterms:created xsi:type="dcterms:W3CDTF">2016-09-25T19:50:35Z</dcterms:created>
  <dcterms:modified xsi:type="dcterms:W3CDTF">2024-09-13T00:26:27Z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0x010100E4DDA97709D05344805E34443243448B</vt:lpwstr>
  </property>
  <property fmtid="{D5CDD505-2E9C-101B-9397-08002B2CF9AE}" pid="3" name="MediaServiceImageTags">
    <vt:lpwstr/>
  </property>
</Properties>
</file>